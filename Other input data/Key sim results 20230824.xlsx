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evansherwin/PycharmProjects/MethaneDistributionsReboot/Other input data/"/>
    </mc:Choice>
  </mc:AlternateContent>
  <xr:revisionPtr revIDLastSave="0" documentId="13_ncr:1_{386148AD-1322-544C-BCA0-BC43E04CB275}" xr6:coauthVersionLast="47" xr6:coauthVersionMax="47" xr10:uidLastSave="{00000000-0000-0000-0000-000000000000}"/>
  <bookViews>
    <workbookView xWindow="3400" yWindow="820" windowWidth="29900" windowHeight="17080" activeTab="1" xr2:uid="{DA729304-F74A-A044-AD1E-035DDE35C875}"/>
  </bookViews>
  <sheets>
    <sheet name="ReadMe" sheetId="9" r:id="rId1"/>
    <sheet name="By site" sheetId="1" r:id="rId2"/>
    <sheet name="Tables for paper" sheetId="8" r:id="rId3"/>
    <sheet name="By site visit" sheetId="2" r:id="rId4"/>
    <sheet name="By site no strat"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5" i="8" l="1"/>
  <c r="J64" i="8"/>
  <c r="J63" i="8"/>
  <c r="J62" i="8"/>
  <c r="J61" i="8"/>
  <c r="J60" i="8"/>
  <c r="J59" i="8"/>
  <c r="J58" i="8"/>
  <c r="J57" i="8"/>
  <c r="J56" i="8"/>
  <c r="J55" i="8"/>
  <c r="J54" i="8"/>
  <c r="J53" i="8"/>
  <c r="J52" i="8"/>
  <c r="J51" i="8"/>
  <c r="J50" i="8"/>
  <c r="J49" i="8"/>
  <c r="J48" i="8"/>
  <c r="J47" i="8"/>
  <c r="C86" i="8"/>
  <c r="D86" i="8" s="1"/>
  <c r="E86" i="8" s="1"/>
  <c r="C85" i="8"/>
  <c r="D85" i="8" s="1"/>
  <c r="E85" i="8" s="1"/>
  <c r="C84" i="8"/>
  <c r="D84" i="8" s="1"/>
  <c r="E84" i="8" s="1"/>
  <c r="C83" i="8"/>
  <c r="D83" i="8" s="1"/>
  <c r="E83" i="8" s="1"/>
  <c r="C82" i="8"/>
  <c r="D82" i="8" s="1"/>
  <c r="E82" i="8" s="1"/>
  <c r="C81" i="8"/>
  <c r="D81" i="8" s="1"/>
  <c r="E81" i="8" s="1"/>
  <c r="C80" i="8"/>
  <c r="D80" i="8" s="1"/>
  <c r="E80" i="8" s="1"/>
  <c r="C79" i="8"/>
  <c r="D79" i="8" s="1"/>
  <c r="E79" i="8" s="1"/>
  <c r="C78" i="8"/>
  <c r="D78" i="8" s="1"/>
  <c r="E78" i="8" s="1"/>
  <c r="C77" i="8"/>
  <c r="D77" i="8" s="1"/>
  <c r="E77" i="8" s="1"/>
  <c r="C76" i="8"/>
  <c r="D76" i="8" s="1"/>
  <c r="E76" i="8" s="1"/>
  <c r="C75" i="8"/>
  <c r="D75" i="8" s="1"/>
  <c r="E75" i="8" s="1"/>
  <c r="C74" i="8"/>
  <c r="D74" i="8" s="1"/>
  <c r="E74" i="8" s="1"/>
  <c r="C73" i="8"/>
  <c r="D73" i="8" s="1"/>
  <c r="E73" i="8" s="1"/>
  <c r="C72" i="8"/>
  <c r="D72" i="8" s="1"/>
  <c r="E72" i="8" s="1"/>
  <c r="C71" i="8"/>
  <c r="D71" i="8" s="1"/>
  <c r="E71" i="8" s="1"/>
  <c r="C70" i="8"/>
  <c r="D70" i="8" s="1"/>
  <c r="E70" i="8" s="1"/>
  <c r="C69" i="8"/>
  <c r="D69" i="8" s="1"/>
  <c r="E69" i="8" s="1"/>
  <c r="C68" i="8"/>
  <c r="D68" i="8" s="1"/>
  <c r="E68" i="8" s="1"/>
  <c r="F68" i="8" l="1"/>
  <c r="Y33" i="1" l="1"/>
  <c r="B86" i="8"/>
  <c r="B85" i="8"/>
  <c r="B84" i="8"/>
  <c r="B83" i="8"/>
  <c r="B82" i="8"/>
  <c r="B81" i="8"/>
  <c r="B80" i="8"/>
  <c r="B79" i="8"/>
  <c r="B78" i="8"/>
  <c r="B77" i="8"/>
  <c r="B76" i="8"/>
  <c r="B75" i="8"/>
  <c r="B74" i="8"/>
  <c r="B73" i="8"/>
  <c r="B72" i="8"/>
  <c r="B71" i="8"/>
  <c r="B70" i="8"/>
  <c r="B69" i="8"/>
  <c r="B68" i="8"/>
  <c r="B87" i="8" l="1"/>
  <c r="Z69" i="8"/>
  <c r="AB69" i="8"/>
  <c r="AA69" i="8"/>
  <c r="AA59" i="8"/>
  <c r="AB66" i="8"/>
  <c r="AA65" i="8"/>
  <c r="AB65" i="8"/>
  <c r="AB64" i="8"/>
  <c r="AB63" i="8"/>
  <c r="AB62" i="8"/>
  <c r="AB61" i="8"/>
  <c r="AB60" i="8"/>
  <c r="AB59" i="8"/>
  <c r="AB58" i="8"/>
  <c r="AB57" i="8"/>
  <c r="AB56" i="8"/>
  <c r="AB55" i="8"/>
  <c r="AB54" i="8"/>
  <c r="AB53" i="8"/>
  <c r="AB52" i="8"/>
  <c r="AB51" i="8"/>
  <c r="AB50" i="8"/>
  <c r="AB49" i="8"/>
  <c r="AB48" i="8"/>
  <c r="AB47" i="8"/>
  <c r="AA47" i="8"/>
  <c r="AA64" i="8"/>
  <c r="AA63" i="8"/>
  <c r="AA62" i="8"/>
  <c r="AA61" i="8"/>
  <c r="AA60" i="8"/>
  <c r="AA58" i="8"/>
  <c r="AA57" i="8"/>
  <c r="AA56" i="8"/>
  <c r="AA55" i="8"/>
  <c r="AA54" i="8"/>
  <c r="AA53" i="8"/>
  <c r="AA52" i="8"/>
  <c r="AA51" i="8"/>
  <c r="AA50" i="8"/>
  <c r="AA49" i="8"/>
  <c r="AA48" i="8"/>
  <c r="T65" i="8"/>
  <c r="T64" i="8"/>
  <c r="T63" i="8"/>
  <c r="T62" i="8"/>
  <c r="T61" i="8"/>
  <c r="T60" i="8"/>
  <c r="T59" i="8"/>
  <c r="T58" i="8"/>
  <c r="T57" i="8"/>
  <c r="T56" i="8"/>
  <c r="T55" i="8"/>
  <c r="T54" i="8"/>
  <c r="T53" i="8"/>
  <c r="T52" i="8"/>
  <c r="T51" i="8"/>
  <c r="T50" i="8"/>
  <c r="T49" i="8"/>
  <c r="T48" i="8"/>
  <c r="T47" i="8"/>
  <c r="U65" i="8"/>
  <c r="U64" i="8"/>
  <c r="U63" i="8"/>
  <c r="U62" i="8"/>
  <c r="U61" i="8"/>
  <c r="U60" i="8"/>
  <c r="U59" i="8"/>
  <c r="U58" i="8"/>
  <c r="U57" i="8"/>
  <c r="U56" i="8"/>
  <c r="U55" i="8"/>
  <c r="U54" i="8"/>
  <c r="U53" i="8"/>
  <c r="U52" i="8"/>
  <c r="U51" i="8"/>
  <c r="U50" i="8"/>
  <c r="U49" i="8"/>
  <c r="U48" i="8"/>
  <c r="U47" i="8"/>
  <c r="R23" i="1"/>
  <c r="Q23" i="1"/>
  <c r="P23" i="1"/>
  <c r="O23" i="1"/>
  <c r="N23" i="1"/>
  <c r="M23" i="1"/>
  <c r="L23" i="1"/>
  <c r="K23" i="1"/>
  <c r="EF23" i="1"/>
  <c r="EE23" i="1"/>
  <c r="ED23" i="1"/>
  <c r="EC23" i="1"/>
  <c r="EB23" i="1"/>
  <c r="EA23" i="1"/>
  <c r="EA24" i="1" s="1"/>
  <c r="K66" i="8" s="1"/>
  <c r="L65" i="8"/>
  <c r="L64" i="8"/>
  <c r="L63" i="8"/>
  <c r="L62" i="8"/>
  <c r="L61" i="8"/>
  <c r="L60" i="8"/>
  <c r="L59" i="8"/>
  <c r="L58" i="8"/>
  <c r="L57" i="8"/>
  <c r="L56" i="8"/>
  <c r="L55" i="8"/>
  <c r="L54" i="8"/>
  <c r="L53" i="8"/>
  <c r="L52" i="8"/>
  <c r="L51" i="8"/>
  <c r="L50" i="8"/>
  <c r="L49" i="8"/>
  <c r="L48" i="8"/>
  <c r="L47" i="8"/>
  <c r="K65" i="8"/>
  <c r="K64" i="8"/>
  <c r="K63" i="8"/>
  <c r="K62" i="8"/>
  <c r="K61" i="8"/>
  <c r="K60" i="8"/>
  <c r="K59" i="8"/>
  <c r="K58" i="8"/>
  <c r="K57" i="8"/>
  <c r="K56" i="8"/>
  <c r="K55" i="8"/>
  <c r="K54" i="8"/>
  <c r="K53" i="8"/>
  <c r="K52" i="8"/>
  <c r="K51" i="8"/>
  <c r="K50" i="8"/>
  <c r="K49" i="8"/>
  <c r="K48" i="8"/>
  <c r="K47" i="8"/>
  <c r="B65" i="8"/>
  <c r="G65" i="8"/>
  <c r="G64" i="8"/>
  <c r="G63" i="8"/>
  <c r="G62" i="8"/>
  <c r="G61" i="8"/>
  <c r="G60" i="8"/>
  <c r="G59" i="8"/>
  <c r="G58" i="8"/>
  <c r="G57" i="8"/>
  <c r="G56" i="8"/>
  <c r="G55" i="8"/>
  <c r="G54" i="8"/>
  <c r="G53" i="8"/>
  <c r="G52" i="8"/>
  <c r="G51" i="8"/>
  <c r="G50" i="8"/>
  <c r="G49" i="8"/>
  <c r="G48" i="8"/>
  <c r="G47" i="8"/>
  <c r="F65" i="8"/>
  <c r="F64" i="8"/>
  <c r="F63" i="8"/>
  <c r="F62" i="8"/>
  <c r="F61" i="8"/>
  <c r="F60" i="8"/>
  <c r="F59" i="8"/>
  <c r="F58" i="8"/>
  <c r="F57" i="8"/>
  <c r="F56" i="8"/>
  <c r="F55" i="8"/>
  <c r="F54" i="8"/>
  <c r="F53" i="8"/>
  <c r="F52" i="8"/>
  <c r="F51" i="8"/>
  <c r="F50" i="8"/>
  <c r="F49" i="8"/>
  <c r="F48" i="8"/>
  <c r="F47" i="8"/>
  <c r="E65" i="8"/>
  <c r="E64" i="8"/>
  <c r="E63" i="8"/>
  <c r="E62" i="8"/>
  <c r="E61" i="8"/>
  <c r="E60" i="8"/>
  <c r="E59" i="8"/>
  <c r="E58" i="8"/>
  <c r="E57" i="8"/>
  <c r="E56" i="8"/>
  <c r="E55" i="8"/>
  <c r="E54" i="8"/>
  <c r="E53" i="8"/>
  <c r="E52" i="8"/>
  <c r="E51" i="8"/>
  <c r="E50" i="8"/>
  <c r="E49" i="8"/>
  <c r="E48" i="8"/>
  <c r="E47" i="8"/>
  <c r="D65" i="8"/>
  <c r="D64" i="8"/>
  <c r="D63" i="8"/>
  <c r="D62" i="8"/>
  <c r="D61" i="8"/>
  <c r="D60" i="8"/>
  <c r="D59" i="8"/>
  <c r="D58" i="8"/>
  <c r="D57" i="8"/>
  <c r="D56" i="8"/>
  <c r="D55" i="8"/>
  <c r="D54" i="8"/>
  <c r="D53" i="8"/>
  <c r="D52" i="8"/>
  <c r="D51" i="8"/>
  <c r="D50" i="8"/>
  <c r="D49" i="8"/>
  <c r="D48" i="8"/>
  <c r="D47" i="8"/>
  <c r="C65" i="8"/>
  <c r="C64" i="8"/>
  <c r="C63" i="8"/>
  <c r="C62" i="8"/>
  <c r="C61" i="8"/>
  <c r="C60" i="8"/>
  <c r="C59" i="8"/>
  <c r="C58" i="8"/>
  <c r="C57" i="8"/>
  <c r="C56" i="8"/>
  <c r="C55" i="8"/>
  <c r="C54" i="8"/>
  <c r="C53" i="8"/>
  <c r="C52" i="8"/>
  <c r="C51" i="8"/>
  <c r="C50" i="8"/>
  <c r="C49" i="8"/>
  <c r="C48" i="8"/>
  <c r="C47" i="8"/>
  <c r="B64" i="8"/>
  <c r="B63" i="8"/>
  <c r="B62" i="8"/>
  <c r="B61" i="8"/>
  <c r="B60" i="8"/>
  <c r="B59" i="8"/>
  <c r="B58" i="8"/>
  <c r="B57" i="8"/>
  <c r="B56" i="8"/>
  <c r="B55" i="8"/>
  <c r="B54" i="8"/>
  <c r="B53" i="8"/>
  <c r="B52" i="8"/>
  <c r="B51" i="8"/>
  <c r="B50" i="8"/>
  <c r="B49" i="8"/>
  <c r="B48" i="8"/>
  <c r="B47" i="8"/>
  <c r="AX21" i="1"/>
  <c r="Z25" i="1"/>
  <c r="U25" i="1"/>
  <c r="T25" i="1"/>
  <c r="S25" i="1"/>
  <c r="Q46" i="8" a="1"/>
  <c r="Q46" i="8" s="1"/>
  <c r="P46" i="8" a="1"/>
  <c r="P46" i="8" s="1"/>
  <c r="V24" i="8" a="1"/>
  <c r="V24" i="8" s="1"/>
  <c r="U24" i="8" a="1"/>
  <c r="U24" i="8" s="1"/>
  <c r="R42" i="8"/>
  <c r="Q42" i="8"/>
  <c r="P42" i="8"/>
  <c r="O42" i="8"/>
  <c r="R41" i="8"/>
  <c r="Q41" i="8"/>
  <c r="P41" i="8"/>
  <c r="O41" i="8"/>
  <c r="R40" i="8"/>
  <c r="Q40" i="8"/>
  <c r="P40" i="8"/>
  <c r="O40" i="8"/>
  <c r="R39" i="8"/>
  <c r="Q39" i="8"/>
  <c r="P39" i="8"/>
  <c r="O39" i="8"/>
  <c r="R38" i="8"/>
  <c r="Q38" i="8"/>
  <c r="P38" i="8"/>
  <c r="O38" i="8"/>
  <c r="R37" i="8"/>
  <c r="Q37" i="8"/>
  <c r="P37" i="8"/>
  <c r="O37" i="8"/>
  <c r="R36" i="8"/>
  <c r="Q36" i="8"/>
  <c r="P36" i="8"/>
  <c r="O36" i="8"/>
  <c r="R35" i="8"/>
  <c r="Q35" i="8"/>
  <c r="P35" i="8"/>
  <c r="O35" i="8"/>
  <c r="R34" i="8"/>
  <c r="Q34" i="8"/>
  <c r="P34" i="8"/>
  <c r="O34" i="8"/>
  <c r="R33" i="8"/>
  <c r="Q33" i="8"/>
  <c r="P33" i="8"/>
  <c r="O33" i="8"/>
  <c r="R32" i="8"/>
  <c r="Q32" i="8"/>
  <c r="P32" i="8"/>
  <c r="O32" i="8"/>
  <c r="R31" i="8"/>
  <c r="Q31" i="8"/>
  <c r="P31" i="8"/>
  <c r="O31" i="8"/>
  <c r="R30" i="8"/>
  <c r="Q30" i="8"/>
  <c r="P30" i="8"/>
  <c r="O30" i="8"/>
  <c r="R29" i="8"/>
  <c r="Q29" i="8"/>
  <c r="P29" i="8"/>
  <c r="O29" i="8"/>
  <c r="R28" i="8"/>
  <c r="Q28" i="8"/>
  <c r="P28" i="8"/>
  <c r="O28" i="8"/>
  <c r="R27" i="8"/>
  <c r="Q27" i="8"/>
  <c r="P27" i="8"/>
  <c r="O27" i="8"/>
  <c r="R26" i="8"/>
  <c r="Q26" i="8"/>
  <c r="P26" i="8"/>
  <c r="O26" i="8"/>
  <c r="R25" i="8"/>
  <c r="Q25" i="8"/>
  <c r="P25" i="8"/>
  <c r="O25" i="8"/>
  <c r="R24" i="8"/>
  <c r="O24" i="8"/>
  <c r="Q24" i="8"/>
  <c r="P24" i="8"/>
  <c r="K42" i="8"/>
  <c r="J42" i="8"/>
  <c r="I42" i="8"/>
  <c r="H42" i="8"/>
  <c r="K41" i="8"/>
  <c r="J41" i="8"/>
  <c r="I41" i="8"/>
  <c r="H41" i="8"/>
  <c r="K40" i="8"/>
  <c r="J40" i="8"/>
  <c r="I40" i="8"/>
  <c r="H40" i="8"/>
  <c r="K39" i="8"/>
  <c r="J39" i="8"/>
  <c r="I39" i="8"/>
  <c r="H39" i="8"/>
  <c r="K38" i="8"/>
  <c r="J38" i="8"/>
  <c r="I38" i="8"/>
  <c r="H38" i="8"/>
  <c r="K37" i="8"/>
  <c r="J37" i="8"/>
  <c r="I37" i="8"/>
  <c r="H37" i="8"/>
  <c r="K36" i="8"/>
  <c r="J36" i="8"/>
  <c r="I36" i="8"/>
  <c r="H36" i="8"/>
  <c r="K35" i="8"/>
  <c r="J35" i="8"/>
  <c r="I35" i="8"/>
  <c r="H35" i="8"/>
  <c r="K34" i="8"/>
  <c r="J34" i="8"/>
  <c r="I34" i="8"/>
  <c r="H34" i="8"/>
  <c r="K33" i="8"/>
  <c r="J33" i="8"/>
  <c r="I33" i="8"/>
  <c r="H33" i="8"/>
  <c r="K32" i="8"/>
  <c r="J32" i="8"/>
  <c r="I32" i="8"/>
  <c r="H32" i="8"/>
  <c r="K31" i="8"/>
  <c r="J31" i="8"/>
  <c r="I31" i="8"/>
  <c r="H31" i="8"/>
  <c r="K30" i="8"/>
  <c r="J30" i="8"/>
  <c r="I30" i="8"/>
  <c r="H30" i="8"/>
  <c r="K29" i="8"/>
  <c r="J29" i="8"/>
  <c r="I29" i="8"/>
  <c r="H29" i="8"/>
  <c r="K28" i="8"/>
  <c r="J28" i="8"/>
  <c r="I28" i="8"/>
  <c r="H28" i="8"/>
  <c r="K27" i="8"/>
  <c r="J27" i="8"/>
  <c r="I27" i="8"/>
  <c r="H27" i="8"/>
  <c r="K26" i="8"/>
  <c r="J26" i="8"/>
  <c r="I26" i="8"/>
  <c r="H26" i="8"/>
  <c r="K25" i="8"/>
  <c r="J25" i="8"/>
  <c r="I25" i="8"/>
  <c r="H25" i="8"/>
  <c r="K24" i="8"/>
  <c r="J24" i="8"/>
  <c r="I24" i="8"/>
  <c r="H24" i="8"/>
  <c r="D42" i="8"/>
  <c r="D41" i="8"/>
  <c r="D40" i="8"/>
  <c r="D39" i="8"/>
  <c r="D38" i="8"/>
  <c r="D37" i="8"/>
  <c r="D36" i="8"/>
  <c r="D35" i="8"/>
  <c r="D34" i="8"/>
  <c r="D33" i="8"/>
  <c r="D32" i="8"/>
  <c r="D31" i="8"/>
  <c r="D30" i="8"/>
  <c r="D29" i="8"/>
  <c r="D28" i="8"/>
  <c r="D27" i="8"/>
  <c r="D26" i="8"/>
  <c r="D25" i="8"/>
  <c r="D24" i="8"/>
  <c r="C23" i="8" a="1"/>
  <c r="C23" i="8" s="1"/>
  <c r="B42" i="8"/>
  <c r="B41" i="8"/>
  <c r="B40" i="8"/>
  <c r="B39" i="8"/>
  <c r="B38" i="8"/>
  <c r="B37" i="8"/>
  <c r="B36" i="8"/>
  <c r="B35" i="8"/>
  <c r="B34" i="8"/>
  <c r="B33" i="8"/>
  <c r="B32" i="8"/>
  <c r="B31" i="8"/>
  <c r="B30" i="8"/>
  <c r="B29" i="8"/>
  <c r="B28" i="8"/>
  <c r="B27" i="8"/>
  <c r="B26" i="8"/>
  <c r="B25" i="8"/>
  <c r="B24" i="8"/>
  <c r="N2" i="8" a="1"/>
  <c r="N2" i="8" s="1"/>
  <c r="O2" i="8" a="1"/>
  <c r="O2" i="8" s="1"/>
  <c r="I3" i="8"/>
  <c r="K3" i="8" s="1"/>
  <c r="I4" i="8"/>
  <c r="K4" i="8" s="1"/>
  <c r="I5" i="8"/>
  <c r="K5" i="8" s="1"/>
  <c r="I6" i="8"/>
  <c r="K6" i="8" s="1"/>
  <c r="I7" i="8"/>
  <c r="K7" i="8" s="1"/>
  <c r="I8" i="8"/>
  <c r="K8" i="8" s="1"/>
  <c r="I9" i="8"/>
  <c r="K9" i="8" s="1"/>
  <c r="I10" i="8"/>
  <c r="K10" i="8" s="1"/>
  <c r="I11" i="8"/>
  <c r="K11" i="8" s="1"/>
  <c r="I12" i="8"/>
  <c r="K12" i="8" s="1"/>
  <c r="I13" i="8"/>
  <c r="K13" i="8" s="1"/>
  <c r="I14" i="8"/>
  <c r="K14" i="8" s="1"/>
  <c r="I15" i="8"/>
  <c r="K15" i="8" s="1"/>
  <c r="I16" i="8"/>
  <c r="K16" i="8" s="1"/>
  <c r="S2" i="8" a="1"/>
  <c r="S2" i="8" s="1"/>
  <c r="R2" i="8" a="1"/>
  <c r="R2" i="8" s="1"/>
  <c r="Q2" i="8" a="1"/>
  <c r="Q2" i="8" s="1"/>
  <c r="P2" i="8" a="1"/>
  <c r="P2" i="8" s="1"/>
  <c r="I21" i="8"/>
  <c r="I20" i="8"/>
  <c r="I19" i="8"/>
  <c r="I18" i="8"/>
  <c r="I17" i="8"/>
  <c r="K17" i="8" s="1"/>
  <c r="E2" i="8" a="1"/>
  <c r="E2" i="8" s="1"/>
  <c r="D2" i="8" a="1"/>
  <c r="D2" i="8" s="1"/>
  <c r="C2" i="8" a="1"/>
  <c r="C2" i="8" s="1"/>
  <c r="B2" i="8" a="1"/>
  <c r="B2" i="8" s="1"/>
  <c r="CH23" i="1"/>
  <c r="BR24" i="1"/>
  <c r="AQ24" i="1"/>
  <c r="AG24" i="1"/>
  <c r="AB24" i="1"/>
  <c r="AA24" i="1"/>
  <c r="Z24" i="1"/>
  <c r="U24" i="1"/>
  <c r="T24" i="1"/>
  <c r="S24" i="1"/>
  <c r="BV23" i="1"/>
  <c r="BR23" i="1"/>
  <c r="AQ23" i="1"/>
  <c r="AG23" i="1"/>
  <c r="AB23" i="1"/>
  <c r="AA23" i="1"/>
  <c r="Z23" i="1"/>
  <c r="B88" i="8" s="1"/>
  <c r="U23" i="1"/>
  <c r="T23" i="1"/>
  <c r="S23" i="1"/>
  <c r="S29" i="1" l="1"/>
  <c r="S31" i="1" s="1"/>
  <c r="B89" i="8"/>
  <c r="AA66" i="8"/>
  <c r="N24" i="1"/>
  <c r="ED24" i="1" s="1"/>
  <c r="L66" i="8" s="1"/>
  <c r="B44" i="8"/>
  <c r="CH24" i="1"/>
  <c r="J66" i="8" s="1"/>
  <c r="W24" i="8"/>
  <c r="W26" i="8"/>
  <c r="W27" i="8"/>
  <c r="W28" i="8"/>
  <c r="W29" i="8"/>
  <c r="W30" i="8"/>
  <c r="W35" i="8"/>
  <c r="W36" i="8"/>
  <c r="W37" i="8"/>
  <c r="W38" i="8"/>
  <c r="W31" i="8"/>
  <c r="W39" i="8"/>
  <c r="W32" i="8"/>
  <c r="W40" i="8"/>
  <c r="W25" i="8"/>
  <c r="W33" i="8"/>
  <c r="W41" i="8"/>
  <c r="W34" i="8"/>
  <c r="W42" i="8"/>
  <c r="CP26" i="1" l="1"/>
  <c r="S36" i="1"/>
  <c r="BJ21" i="1"/>
  <c r="U29" i="1"/>
  <c r="U31" i="1" s="1"/>
  <c r="T29" i="1"/>
  <c r="T31" i="1" s="1"/>
  <c r="BR29" i="1"/>
  <c r="BR28" i="1"/>
  <c r="BR27" i="1"/>
  <c r="AA29" i="1"/>
  <c r="AA28" i="1"/>
  <c r="AA27" i="1"/>
  <c r="AB29" i="1"/>
  <c r="AB28" i="1"/>
  <c r="AB27" i="1"/>
  <c r="AQ29" i="1"/>
  <c r="AQ28" i="1"/>
  <c r="AQ27" i="1"/>
  <c r="AI29" i="1"/>
  <c r="AH29" i="1"/>
  <c r="AG29" i="1"/>
  <c r="AF29" i="1"/>
  <c r="AE29" i="1"/>
  <c r="AD29" i="1"/>
  <c r="AI28" i="1"/>
  <c r="AH28" i="1"/>
  <c r="AG28" i="1"/>
  <c r="AF28" i="1"/>
  <c r="AE28" i="1"/>
  <c r="AI27" i="1"/>
  <c r="AH27" i="1"/>
  <c r="AG27" i="1"/>
  <c r="AF27" i="1"/>
  <c r="AE27" i="1"/>
  <c r="AD27" i="1"/>
  <c r="AD28" i="1"/>
  <c r="Y32" i="1"/>
  <c r="AC23" i="2"/>
  <c r="AC22" i="2"/>
  <c r="X22" i="2"/>
  <c r="W22" i="2"/>
  <c r="V22" i="2"/>
  <c r="V24" i="2" s="1"/>
  <c r="BW21" i="1" l="1"/>
  <c r="BV21" i="1"/>
  <c r="BM21" i="1"/>
  <c r="BI21" i="1"/>
  <c r="AZ21" i="1" s="1"/>
  <c r="BH21" i="1"/>
  <c r="AY21" i="1" s="1"/>
  <c r="BN21" i="1"/>
  <c r="AR29" i="1"/>
  <c r="S34" i="1"/>
  <c r="S35" i="1" s="1"/>
  <c r="S30" i="1"/>
  <c r="U30" i="1"/>
  <c r="U34" i="1"/>
  <c r="U35" i="1" s="1"/>
  <c r="T30" i="1"/>
  <c r="T34" i="1"/>
  <c r="T35" i="1" s="1"/>
  <c r="BE23" i="1"/>
  <c r="B90" i="8" s="1"/>
  <c r="BF23" i="1"/>
  <c r="BG23" i="1"/>
  <c r="AB30" i="1"/>
  <c r="BE25" i="1"/>
  <c r="BF25" i="1"/>
  <c r="BR30" i="1"/>
  <c r="AR27" i="1"/>
  <c r="AR24" i="1"/>
  <c r="AR28" i="1"/>
  <c r="AA30" i="1"/>
  <c r="BG25" i="1"/>
  <c r="AQ30" i="1"/>
  <c r="BG24" i="1"/>
  <c r="BE24" i="1"/>
  <c r="BF24" i="1"/>
  <c r="AR23" i="1"/>
  <c r="BU23" i="1"/>
  <c r="Z22" i="1"/>
  <c r="D44" i="8" l="1"/>
  <c r="AR30" i="1"/>
  <c r="BU2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<sst xmlns="http://schemas.openxmlformats.org/spreadsheetml/2006/main" count="1002" uniqueCount="434">
  <si>
    <t>Kairos Permian</t>
  </si>
  <si>
    <t>Permian/Summer 2021</t>
  </si>
  <si>
    <t>Permian/Fall 2021</t>
  </si>
  <si>
    <t>San Joaquin/2020</t>
  </si>
  <si>
    <t>San Joaquin/COVID 2020</t>
  </si>
  <si>
    <t>San Joaquin/Fall 2021</t>
  </si>
  <si>
    <t>San Joaquin/2016-2017</t>
  </si>
  <si>
    <t>DJ/Fall 2021</t>
  </si>
  <si>
    <t>DJ/Summer 2021</t>
  </si>
  <si>
    <t>Appalachia/2021</t>
  </si>
  <si>
    <t>Uinta/2020</t>
  </si>
  <si>
    <t>Kairos Barnett</t>
  </si>
  <si>
    <t>N</t>
  </si>
  <si>
    <t>Min detected emission</t>
  </si>
  <si>
    <t>Methane fractional loss partial</t>
  </si>
  <si>
    <t>Methane fractional loss total</t>
  </si>
  <si>
    <t>Simulation (t/h)</t>
  </si>
  <si>
    <t>Aerial (t/h)</t>
  </si>
  <si>
    <t>Partial (t/h)</t>
  </si>
  <si>
    <t>Permian/2020</t>
  </si>
  <si>
    <t>Total sim emissions</t>
  </si>
  <si>
    <t>Fraction sim retained</t>
  </si>
  <si>
    <t>Total/Sim</t>
  </si>
  <si>
    <t>Transition point</t>
  </si>
  <si>
    <t>Total covered production (t(CH4)/hr)</t>
  </si>
  <si>
    <t>Production/site covered</t>
  </si>
  <si>
    <t>San Joaquin/2016</t>
  </si>
  <si>
    <t>San Joaquin/2017</t>
  </si>
  <si>
    <t>Wells covered</t>
  </si>
  <si>
    <t>Well visits</t>
  </si>
  <si>
    <t>Stratify by covered prod</t>
  </si>
  <si>
    <t>No</t>
  </si>
  <si>
    <t>Yes</t>
  </si>
  <si>
    <t>Include repeats</t>
  </si>
  <si>
    <t>Avg % wells emitting</t>
  </si>
  <si>
    <t>Wells per site</t>
  </si>
  <si>
    <t>Avg % sites emitting</t>
  </si>
  <si>
    <t>FracLossP2.5</t>
  </si>
  <si>
    <t>FracLossP97.5</t>
  </si>
  <si>
    <t>FracLossP2.5Full</t>
  </si>
  <si>
    <t>FracLossP97.5Full</t>
  </si>
  <si>
    <t>Permian/2019 w/2021 bounds</t>
  </si>
  <si>
    <t>Midland_2019_F2021_bounds</t>
  </si>
  <si>
    <t>Delaware_2019_F2021_bounds</t>
  </si>
  <si>
    <t>Well site visits</t>
  </si>
  <si>
    <t>Totals excluding repeats</t>
  </si>
  <si>
    <t>Totals including repeats (no 2019 subcampaigns)</t>
  </si>
  <si>
    <t>Aerial emissions P2.5</t>
  </si>
  <si>
    <t>Aerial emissions P97.5</t>
  </si>
  <si>
    <t>Total emissions + midstream (t/h)</t>
  </si>
  <si>
    <t>Total emissions + midstream P2.5</t>
  </si>
  <si>
    <t>Total emissions + midstream P97.5</t>
  </si>
  <si>
    <t>AerialFracLossP2.5</t>
  </si>
  <si>
    <t>AerialFracLossP97.5</t>
  </si>
  <si>
    <t># production plumes</t>
  </si>
  <si>
    <t># production plumes sel</t>
  </si>
  <si>
    <t># prod sources overall</t>
  </si>
  <si>
    <t># avg prod sources sim</t>
  </si>
  <si>
    <t># midstream plumes</t>
  </si>
  <si>
    <t># midstream sources</t>
  </si>
  <si>
    <t>Null</t>
  </si>
  <si>
    <t>Midstream partial detect (t/h)</t>
  </si>
  <si>
    <t>FracLossMidPartial</t>
  </si>
  <si>
    <t>Aerial midstream emissions (t/h)</t>
  </si>
  <si>
    <t>Aerial midstream emissions P2.5</t>
  </si>
  <si>
    <t>Aerial midstream emissions P97.5</t>
  </si>
  <si>
    <t>Midstream GHGI below min detect (t/h)</t>
  </si>
  <si>
    <t>FracLossMidGHGI</t>
  </si>
  <si>
    <t>GHGI 2022 (for 2020)</t>
  </si>
  <si>
    <t>Total production emissions</t>
  </si>
  <si>
    <t>Total aerial+partial emissions</t>
  </si>
  <si>
    <t>Frac aerial+partial</t>
  </si>
  <si>
    <t>Frac sim</t>
  </si>
  <si>
    <t>Total aerial</t>
  </si>
  <si>
    <t>Frac aerial</t>
  </si>
  <si>
    <t>Frac midstream</t>
  </si>
  <si>
    <t>Frac midstream aerial</t>
  </si>
  <si>
    <t>Fraction of national gas covered</t>
  </si>
  <si>
    <t>2021 US gas prod</t>
  </si>
  <si>
    <t>FracLossProd</t>
  </si>
  <si>
    <t>% SDev of MC iterations</t>
  </si>
  <si>
    <t>SErr of mean total emissions</t>
  </si>
  <si>
    <t>SD to SErr factor</t>
  </si>
  <si>
    <t>Uinta_2020</t>
  </si>
  <si>
    <t>Permian_2019</t>
  </si>
  <si>
    <t>Permian_2020</t>
  </si>
  <si>
    <t>Permian_fall2021</t>
  </si>
  <si>
    <t>Permian_summer2021</t>
  </si>
  <si>
    <t>San_Joaquin_2016</t>
  </si>
  <si>
    <t>San_Joaquin_2017</t>
  </si>
  <si>
    <t>San_Joaquin_fall2020</t>
  </si>
  <si>
    <t>San_Joaquin_summer2020</t>
  </si>
  <si>
    <t>San_Joaquin_fall2021</t>
  </si>
  <si>
    <t>Denver_summer2021</t>
  </si>
  <si>
    <t>Denver_fall2021</t>
  </si>
  <si>
    <t>Pennsylvania_2021</t>
  </si>
  <si>
    <t>Fort_Worth_2021</t>
  </si>
  <si>
    <t>Permian_2019_F2021_bounds</t>
  </si>
  <si>
    <t>Permian_2019_F2021_bounds_Delaware</t>
  </si>
  <si>
    <t>Permian_2019_F2021_Midland</t>
  </si>
  <si>
    <t>Scenario</t>
  </si>
  <si>
    <t>Kairos_Permian</t>
  </si>
  <si>
    <t>Permian total</t>
  </si>
  <si>
    <t>San Joaquin total</t>
  </si>
  <si>
    <t>Denver total</t>
  </si>
  <si>
    <t>State GHGI</t>
  </si>
  <si>
    <t>Per+SJ+DJ</t>
  </si>
  <si>
    <t>Totals excluding high-prod campaigns</t>
  </si>
  <si>
    <t>NG methane fraction</t>
  </si>
  <si>
    <t>kgCH4 per mcfNG</t>
  </si>
  <si>
    <t>Social cost of methane [$/t]</t>
  </si>
  <si>
    <t>Hours per day</t>
  </si>
  <si>
    <t>NG cost [$/mcf]</t>
  </si>
  <si>
    <t>tCH4/mcf(NG)</t>
  </si>
  <si>
    <t>Annual NG value</t>
  </si>
  <si>
    <t>Annual social cost of emissions [$/yr]</t>
  </si>
  <si>
    <t>Annual NG emissions [mcf/yr]</t>
  </si>
  <si>
    <t>Emissions [tCH4/yr]</t>
  </si>
  <si>
    <t>Price/t(CH4)</t>
  </si>
  <si>
    <t>Emissions [tCO2e/yr]</t>
  </si>
  <si>
    <t>GWP20 (IPCC 2021)</t>
  </si>
  <si>
    <t>https://report.ipcc.ch/ar6/wg1/IPCC_AR6_WGI_FullReport.pdf</t>
  </si>
  <si>
    <t>Table 7.15</t>
  </si>
  <si>
    <t>Northeast_Pennsylvania_2021</t>
  </si>
  <si>
    <t>Full upper errorbar % total</t>
  </si>
  <si>
    <t>Full lower errorbar % total</t>
  </si>
  <si>
    <t>Partial prod % total</t>
  </si>
  <si>
    <t>Partial mid % total</t>
  </si>
  <si>
    <t>GHGI midstream sub-aerial fraction</t>
  </si>
  <si>
    <t>Aerially measured/Total emissions</t>
  </si>
  <si>
    <t>Simulation P2.5</t>
  </si>
  <si>
    <t>Simulation P97.5</t>
  </si>
  <si>
    <t>Aerial P2.5</t>
  </si>
  <si>
    <t>Aerial P97.5</t>
  </si>
  <si>
    <t>Well site emissions (t/h)</t>
  </si>
  <si>
    <t>Well site emissions P2.5</t>
  </si>
  <si>
    <t>Well site emissions P97.5</t>
  </si>
  <si>
    <t>Date</t>
  </si>
  <si>
    <t>Avg visits/well site</t>
  </si>
  <si>
    <t>SErr of sample mean</t>
  </si>
  <si>
    <t>Simulation % well site</t>
  </si>
  <si>
    <t>Aerial % well site</t>
  </si>
  <si>
    <t>Partial % well site</t>
  </si>
  <si>
    <t>Methane fractional loss simulation well site</t>
  </si>
  <si>
    <t>Methane fractional loss simulation well siteP2.5</t>
  </si>
  <si>
    <t>Methane fractional loss simulation well siteP97.5</t>
  </si>
  <si>
    <t>Methane fractional loss aerial well site</t>
  </si>
  <si>
    <t>Methane fractional loss partialP2.5</t>
  </si>
  <si>
    <t>Methane fractional loss partialP97.5</t>
  </si>
  <si>
    <t>FracLossProdP2.5</t>
  </si>
  <si>
    <t>FracLossProdP97.5</t>
  </si>
  <si>
    <t>FracLossMidAerial</t>
  </si>
  <si>
    <t>FracLossMidAerialP2.5</t>
  </si>
  <si>
    <t>FracLossMidAerialP97.5</t>
  </si>
  <si>
    <t>FracLossMidPartialP2.5</t>
  </si>
  <si>
    <t>FracLossMidPartialP97.5</t>
  </si>
  <si>
    <t>FracLossMidGHGIP2.5</t>
  </si>
  <si>
    <t>FracLossMidGHGIP97.5</t>
  </si>
  <si>
    <t>FracLossMidstream total</t>
  </si>
  <si>
    <t>FracLossMidstream totalP2.5</t>
  </si>
  <si>
    <t>FracLossMidstream totalP97.5</t>
  </si>
  <si>
    <t>% well site visits with plume</t>
  </si>
  <si>
    <t>% well site visits with selected plume</t>
  </si>
  <si>
    <t>Well sites covered</t>
  </si>
  <si>
    <t>% well sites ever emitting</t>
  </si>
  <si>
    <t>Total aerialP2.5</t>
  </si>
  <si>
    <t>Total aerialP97.5</t>
  </si>
  <si>
    <t>Total aerial+partial emissionsP2.5</t>
  </si>
  <si>
    <t>Total aerial+partial emissionsP97.5</t>
  </si>
  <si>
    <t>Total sim emissionsP2.5</t>
  </si>
  <si>
    <t>Total sim emissionsP97.5</t>
  </si>
  <si>
    <t>Total aerial all segments inc below min detect</t>
  </si>
  <si>
    <t>Total aerial all segments inc below min detect P2.5</t>
  </si>
  <si>
    <t>Total aerial all segments inc below min detect P97.5</t>
  </si>
  <si>
    <t>Total pipeline emissions</t>
  </si>
  <si>
    <t>Total pipeline emissions P2.5</t>
  </si>
  <si>
    <t>Total pipeline emissions P97.5</t>
  </si>
  <si>
    <t>Total compressor emissions</t>
  </si>
  <si>
    <t>Total compressor emissions P2.5</t>
  </si>
  <si>
    <t>Total compressor emissions P97.5</t>
  </si>
  <si>
    <t>Total processing emissions</t>
  </si>
  <si>
    <t>Total processing emissions P2.5</t>
  </si>
  <si>
    <t>Total processing emissions P97.5</t>
  </si>
  <si>
    <t>Total other midstream emissions</t>
  </si>
  <si>
    <t>Total other midstream emissions P2.5</t>
  </si>
  <si>
    <t>Total other midstream emissions P97.5</t>
  </si>
  <si>
    <t>Partial P2.5</t>
  </si>
  <si>
    <t>Partial P97.5</t>
  </si>
  <si>
    <t>Table 7</t>
  </si>
  <si>
    <t>Avg emissions/site</t>
  </si>
  <si>
    <t>REVISIT</t>
  </si>
  <si>
    <t>Table 23</t>
  </si>
  <si>
    <t>Table 24</t>
  </si>
  <si>
    <t>Methane emissions [t/hr]</t>
  </si>
  <si>
    <t>Methane loss rate [%]</t>
  </si>
  <si>
    <t>GHGI 2022</t>
  </si>
  <si>
    <t>Total</t>
  </si>
  <si>
    <t>Table 25</t>
  </si>
  <si>
    <t>Production: Simulated [%]</t>
  </si>
  <si>
    <t>Production: Aerial [%]</t>
  </si>
  <si>
    <t>Production: Aerial partial [%]</t>
  </si>
  <si>
    <t>Production: Total [%]</t>
  </si>
  <si>
    <t>Table 26</t>
  </si>
  <si>
    <t>Midstream: Simulated [%]</t>
  </si>
  <si>
    <t>Midstream: Aerial [%]</t>
  </si>
  <si>
    <t>Midstream: Aerial partial [%]</t>
  </si>
  <si>
    <t>Midstream: Total [%]</t>
  </si>
  <si>
    <t>Table 27</t>
  </si>
  <si>
    <t>Production: Simulated full distribution [%]</t>
  </si>
  <si>
    <t>Production: GHGI [%]</t>
  </si>
  <si>
    <t>% difference</t>
  </si>
  <si>
    <t>Tot sim emissions loss rate</t>
  </si>
  <si>
    <t>Tot sim emissions loss rate P2.5</t>
  </si>
  <si>
    <t>Tot sim emissions loss rate P97.5</t>
  </si>
  <si>
    <t>Prod-only state GHGI loss</t>
  </si>
  <si>
    <t>Prod-only state GHGI loss low</t>
  </si>
  <si>
    <t>Prod-only state GHGI loss high</t>
  </si>
  <si>
    <t>Table 28</t>
  </si>
  <si>
    <t>Logormal fit mean</t>
  </si>
  <si>
    <t>From Jupyter code</t>
  </si>
  <si>
    <t>Lognormal/This study</t>
  </si>
  <si>
    <t>Table 29</t>
  </si>
  <si>
    <t>Pipeline [t/h]</t>
  </si>
  <si>
    <t>Compressor [t/h]</t>
  </si>
  <si>
    <t>Processing [t/h]</t>
  </si>
  <si>
    <t>Other [t/h]</t>
  </si>
  <si>
    <t>Total [t/h]</t>
  </si>
  <si>
    <t>Pipeline %</t>
  </si>
  <si>
    <t>Aerial fraction of total</t>
  </si>
  <si>
    <t>Table 30</t>
  </si>
  <si>
    <t>Aerial fraction of total production</t>
  </si>
  <si>
    <t>Aerial fraction of total midstream</t>
  </si>
  <si>
    <t>Total aerial all segments inc below transition</t>
  </si>
  <si>
    <t>Total aerial all segments inc below transition P2.5</t>
  </si>
  <si>
    <t>Total aerial all segments inc below transition P97.5</t>
  </si>
  <si>
    <t>Total aerial prod emissions inc below transition</t>
  </si>
  <si>
    <t>Total aerial prod emissions inc below transition P2.5</t>
  </si>
  <si>
    <t>Total aerial prod emissions inc below transition P97.5</t>
  </si>
  <si>
    <t>Total aerial mid emissions inc below transition</t>
  </si>
  <si>
    <t>Total aerial mid emissions inc below transition P2.5</t>
  </si>
  <si>
    <t>Total aerial mid emissions inc below transition P97.5</t>
  </si>
  <si>
    <t>Midstream partial detect fraction of total</t>
  </si>
  <si>
    <t>Well site partial detect fraction total</t>
  </si>
  <si>
    <t># avg midstream sources sim</t>
  </si>
  <si>
    <t>These data represent model outputs for Sherwin et al. 2023</t>
  </si>
  <si>
    <t>Methane emissions quantities are presented in metric ton per hour</t>
  </si>
  <si>
    <t>Tot aerially measured emissions inc below detection limit</t>
  </si>
  <si>
    <t>Cusworth O&amp;G emissions</t>
  </si>
  <si>
    <t>Cusworth/Our study</t>
  </si>
  <si>
    <t>Table 17</t>
  </si>
  <si>
    <t>Southwest_Pennsylvania_2021</t>
  </si>
  <si>
    <t>P2.5</t>
  </si>
  <si>
    <t>P97.5</t>
  </si>
  <si>
    <t>PA 2021 CI mult</t>
  </si>
  <si>
    <t>Mean</t>
  </si>
  <si>
    <t>Total excluding repeats</t>
  </si>
  <si>
    <t>GHGI emissions t/h</t>
  </si>
  <si>
    <t>Estimated emission rate</t>
  </si>
  <si>
    <t>Our estimate as multiplier of GHGi</t>
  </si>
  <si>
    <t>Our estimate as a multiplier of Alvarez et al</t>
  </si>
  <si>
    <t>Table 5</t>
  </si>
  <si>
    <t>[Enverus, t(CH4)/h]</t>
  </si>
  <si>
    <t>Prod simulation (t/h)</t>
  </si>
  <si>
    <t>Prod simulation P2.5</t>
  </si>
  <si>
    <t>Prod simulation P97.5</t>
  </si>
  <si>
    <t>Prod aerial (t/h)</t>
  </si>
  <si>
    <t>Prod aerial P2.5</t>
  </si>
  <si>
    <t>Prod aerial P97.5</t>
  </si>
  <si>
    <t>Prod partial (t/h)</t>
  </si>
  <si>
    <t>Prod partial P2.5</t>
  </si>
  <si>
    <t>Prod partial P97.5</t>
  </si>
  <si>
    <t>Prod emissions (t/h)</t>
  </si>
  <si>
    <t>Prod emissions P2.5</t>
  </si>
  <si>
    <t>Prod emissions P97.5</t>
  </si>
  <si>
    <t>Total emissions (t/h)</t>
  </si>
  <si>
    <t>Total emissions P2.5</t>
  </si>
  <si>
    <t>Total emissions P97.5</t>
  </si>
  <si>
    <t>Remove negative Kairos emissions</t>
  </si>
  <si>
    <t>Simulation % prod</t>
  </si>
  <si>
    <t>Aerial % prod</t>
  </si>
  <si>
    <t>Partial % prod</t>
  </si>
  <si>
    <t>Methane fractional loss simulation prod</t>
  </si>
  <si>
    <t>Methane fractional loss simulation prodP2.5</t>
  </si>
  <si>
    <t>Methane fractional loss simulation prodP97.5</t>
  </si>
  <si>
    <t>Methane fractional loss aerial prod</t>
  </si>
  <si>
    <t>AerialFracLossProdP2.5</t>
  </si>
  <si>
    <t>AerialFracLossProdP97.5</t>
  </si>
  <si>
    <t>Methane fractional loss partial prod</t>
  </si>
  <si>
    <t>Methane fractional loss partial prodP2.5</t>
  </si>
  <si>
    <t>Methane fractional loss partial prodP97.5</t>
  </si>
  <si>
    <t>Aerial midstream emissions (t/h): Estimated scenario-wide midstream emissions from aerially measured plumes, in metric tons per hour.</t>
  </si>
  <si>
    <t>Field descriptions</t>
  </si>
  <si>
    <t>Run# : Number identifying the Run in question. A Run is A full simulation of A selected scenario.</t>
  </si>
  <si>
    <t>Batch counter: Each scenario run often includes multiple batches of Monte Carlo iterations, run in series to circumvent memory and CPU limitations. This tracks each batch through a numerical identifier of 1-10.</t>
  </si>
  <si>
    <t>scenario: the scenario to Run, including the aerial campaign, basin, year, any additional geographic restrictions, etc.</t>
  </si>
  <si>
    <t>Prod simulation (t/h): Estimated scenario-wide production emissions in metric tons per hour from the Rutherford et al. simulation.</t>
  </si>
  <si>
    <t>Prod simulation P2.5: The 2.5% confidence interval of the above.</t>
  </si>
  <si>
    <t>Prod simulation P97.5: The 97.5% confidence interval of the above.</t>
  </si>
  <si>
    <t>Prod aerial (t/h): Estimated scenario-wide production emissions from aerially measured plumes above the transition point, in metric tons per hour.</t>
  </si>
  <si>
    <t>Prod aerial P2.5: The 2.5% confidence interval of the above.</t>
  </si>
  <si>
    <t>Prod aerial P97.5: The 97.5% confidence interval of the above.</t>
  </si>
  <si>
    <t>Prod partial (t/h): Estimated scenario-wide production emissions implied due to partial detection based on aerially measured plumes above the transition point, in metric tons per hour.</t>
  </si>
  <si>
    <t>Prod partial P2.5: The 2.5% confidence interval of the above.</t>
  </si>
  <si>
    <t>Prod partial P97.5: The 97.5% confidence interval of the above.</t>
  </si>
  <si>
    <t>Prod emissions (t/h): Estimated scenario wide emission from production sites (well sites) after combining data from all available sources.</t>
  </si>
  <si>
    <t>Prod emissions P2.5: The 2.5% confidence interval of the above.</t>
  </si>
  <si>
    <t>Prod emissions P97.5: The 97.5% confidence interval of the above.</t>
  </si>
  <si>
    <t>Aerial midstream emissions P2.5: The 2.5% confidence interval of the above.</t>
  </si>
  <si>
    <t>Aerial midstream emissions P97.5: The 97.5% confidence interval of the above.</t>
  </si>
  <si>
    <t>Midstream partial detect (t/h): Estimated scenario-wide midstream emissions implied due to partial detection based on aerially measured plumes, in metric tons per hour.</t>
  </si>
  <si>
    <t>Midstream GHGI below min detect (t/h): Estimated scenario-wide midstream emissions below the aerial detection limit, estimated using EPA Greenhouse Gas Inventory data, presented in metric tons per hour</t>
  </si>
  <si>
    <t>Total emissions (t/h): Total estimated emissions after combining all data sources, including production and midstream, in metric tons per hour.</t>
  </si>
  <si>
    <t>Total emissions P2.5: The 2.5% confidence interval of the above.</t>
  </si>
  <si>
    <t>Total emissions P97.5: The 97.5% confidence interval of the above.</t>
  </si>
  <si>
    <t>% SDev of MC iterations: The standard deviation of total estimated emissions across production and midstream across all Monte Carlo iterations in the selected run. Computed over percent deviations in each iteration from the mean over the full run.</t>
  </si>
  <si>
    <t>Transition point: the emission size beyond which (≥) to use aerially measured emissions instead of simulated emissions for well sites. Averaged over all Monte Carlo iterations in the selected run.</t>
  </si>
  <si>
    <t>N: the Total Number of Monte Carlo iterations in the selected Run, including all batches.</t>
  </si>
  <si>
    <t>min detected emission: the smallest detected emission in Each campaign, computed using initial mean quantification estimates provided by Each team, without controlled release corrections.</t>
  </si>
  <si>
    <t>Wells covered: Total count of Wells covered in the selected scenario.</t>
  </si>
  <si>
    <t>well visits: Total well visits in the selected scenario, including Each aerial visit to A well as A separate measurement.</t>
  </si>
  <si>
    <t>Wells per site: Average Wells per site in the selected basin/region.</t>
  </si>
  <si>
    <t># production plumes: Total number of aerially detect production plumes from the chosen scenario.</t>
  </si>
  <si>
    <t># production plumes sel: Average number of aerially detect production plumes from the chosen scenario that were selected for use in a given Monte Carlo iteration.</t>
  </si>
  <si>
    <t># prod sources overall: The total number of well site sources emitting at any point during the selected campaign.</t>
  </si>
  <si>
    <t># avg prod sources sim: The average number of well sites emitting in a given Monte Carlo iteration.</t>
  </si>
  <si>
    <t># midstream plumes: The total number of plumes attributed to midstream assets in the selected scenario.</t>
  </si>
  <si>
    <t># midstream sources: The total number of midstream sources identified in the selected scenario.</t>
  </si>
  <si>
    <t># avg midstream sources sim: Average numer of emitting midstream sources in a given Monte Carlo iteration.</t>
  </si>
  <si>
    <t>Stratify by covered prod: Stratify the Rutherford et al. simulated emissions by the productivity characteristics of the surveyed region (if Yes). If No, assume the surveyed region is representative of the full simulated basin.</t>
  </si>
  <si>
    <t>Total sim emissions: Total simulated production emissions from the Rutherford et al model. below the Transition point.</t>
  </si>
  <si>
    <t>Include repeats: if Yes, Include repeated aerial asset visits as independent measurements to be simulated separately. if No (default), simulate emissions only once per asset in A given Monte Carlo iteration.</t>
  </si>
  <si>
    <t>Date: the Date on which the selected simulation was run. Sometimes includes A numeric counter. Appears in the names of saved files.</t>
  </si>
  <si>
    <t>Remove negative Kairos emissions: If Yes, set to zero any small negative aerially measured emissions introduced from simulated normal error in Kairos measurements. If No (default), leave the negatives in. A Yes value introduces a small upward bias of order 1% or less.</t>
  </si>
  <si>
    <t>Well site visits: Total number of well site measurements/visits (times the aerial survey flew over and collected data over a well site).</t>
  </si>
  <si>
    <t>Avg visits/well site: Average aerial measurements/visits per well site in the selected scenario.</t>
  </si>
  <si>
    <t>SD to SErr factor: Conversion factor from standard deviation to standard error for mean values over the Monte Carlo, accounting for the fact that many assets were measured multiple times in the campaign, but source-level simulations simulate only one emission per site at A given time.</t>
  </si>
  <si>
    <t>SErr of mean Total emissions: standard error of mean percent difference in Total Estimated emissions from production and midstream in the selected campaign, comparing the Total before and after including sub-aerially detectable midstream emissions.</t>
  </si>
  <si>
    <t>SErr of sample mean: standard error of the sample mean sub-aerial emissions as A percentage of Total Estimated emissions from production and midstream.</t>
  </si>
  <si>
    <t>Simulation % prod: Production emissions from the Rutherford et al. model below the transition point as a percentage of total estimated production emissions.</t>
  </si>
  <si>
    <t>Aerial % prod: Aerially measured production emissions above the transition point as a percentage of total production emissions.</t>
  </si>
  <si>
    <t>Partial % prod: Estimated aerially detectible missed production emissions in the partial detection range above the transition point as a percentage of total production emissions.</t>
  </si>
  <si>
    <t>Methane fractional loss simulation Prod: Methane fractional loss rate based solely on simulated production emissions from the Rutherford et al. model below the Transition point.</t>
  </si>
  <si>
    <t>Methane fractional loss simulation prodP2.5: The 2.5% confidence interval of the above.</t>
  </si>
  <si>
    <t>Methane fractional loss simulation prodP97.5: The 97.5% confidence interval of the above.</t>
  </si>
  <si>
    <t>Methane fractional loss aerial Prod: Methane fractional loss based solely on aerially measured production emissions above the Transition point.</t>
  </si>
  <si>
    <t>AerialFracLossProdP2.5: The 2.5% confidence interval of the above.</t>
  </si>
  <si>
    <t>AerialFracLossProdP97.5: The 97.5% confidence interval of the above.</t>
  </si>
  <si>
    <t>Methane fractional loss partial Prod: Methane fractional loss based solely on aerially detectable missed production emissions in the partial detection range above the Transition point.</t>
  </si>
  <si>
    <t>Methane fractional loss partial prodP2.5: The 2.5% confidence interval of the above.</t>
  </si>
  <si>
    <t>Methane fractional loss partial prodP97.5: The 97.5% confidence interval of the above.</t>
  </si>
  <si>
    <t>FracLossProd: Overall fractional loss for production in the selected scenario, combining all available data sources.</t>
  </si>
  <si>
    <t>FracLossProdP2.5: The 2.5% confidence interval of the above.</t>
  </si>
  <si>
    <t>FracLossProdP97.5: The 97.5% confidence interval of the above.</t>
  </si>
  <si>
    <t>Methane fractional loss Total: Total Methane fractional loss rate, combining all available production and midstream data sources.</t>
  </si>
  <si>
    <t>FracLossP2.5: The 2.5% confidence interval of the above.</t>
  </si>
  <si>
    <t>FracLossP97.5: The 2.5% confidence interval of the above.</t>
  </si>
  <si>
    <t>FracLossP2.5Full: The 2.5% confidence interval of overall fractional loss, adding the mean.</t>
  </si>
  <si>
    <t>FracLossP97.5Full: The 97.5% confidence interval of overall fractional loss, adding the mean.</t>
  </si>
  <si>
    <t>FracLossMidAerial: Methane fractional loss based solely on aerially measured midstream emissions.</t>
  </si>
  <si>
    <t>FracLossMidAerialP2.5: The 2.5% confidence interval of the above.</t>
  </si>
  <si>
    <t>FracLossMidAerialP97.5: The 97.5% confidence interval of the above.</t>
  </si>
  <si>
    <t>FracLossMidPartial: Methane fractional loss based solely on aerially detectable missed midstream emissions in the partial detection range.</t>
  </si>
  <si>
    <t>FracLossMidPartialP2.5: The 2.5% confidence interval of the above.</t>
  </si>
  <si>
    <t>FracLossMidPartialP97.5: The 97.5% confidence interval of the above.</t>
  </si>
  <si>
    <t>FracLossMidGHGI: Methane fractional loss based solely on Estimated midstream emissions below the aerial detection threshold, based on Greenhouse Gas Inventory data and analysis.</t>
  </si>
  <si>
    <t>FracLossMidGHGIP2.5: The 2.5% confidence interval of the above.</t>
  </si>
  <si>
    <t>FracLossMidGHGIP97.5: The 97.5% confidence interval of the above.</t>
  </si>
  <si>
    <t>FracLossMidstream Total: Overall midstream Methane fractional loss rate Estimated by combining all available midstream data sources.</t>
  </si>
  <si>
    <t>FracLossMidstream totalP2.5: The 2.5% confidence interval of the above.</t>
  </si>
  <si>
    <t>FracLossMidstream totalP97.5: The 97.5% confidence interval of the above.</t>
  </si>
  <si>
    <t>% well site visits with plume: The percentage of well site visits (measurements) resulting in an aerially detected emission.</t>
  </si>
  <si>
    <t>% well site visits with selected plume: The percentage of well site visits with an aerially detected emission above the transition point.</t>
  </si>
  <si>
    <t>% well sites ever emitting: The percentage of well sites emitting at any point during the campaign underlying the selected scenario.</t>
  </si>
  <si>
    <t>Fraction sim retained: Fraction of Overall emissions from the Rutherford et al. model for the selected scenario that are retained in the final analysis (modeled emissions below the Transition point divided by Total modeled emission)</t>
  </si>
  <si>
    <t>well sites covered: Total Number of well sites covered (measured) during the campaign underlying the selected scenario.</t>
  </si>
  <si>
    <t>Avg % wells emitting: Average percent of wells emitting during a given Monte Carlo iteration, assuming at most one well per site is emitting.</t>
  </si>
  <si>
    <t>Avg % sites emitting: The average fraction of well sites emitting in a given Monte Carlo iteration.</t>
  </si>
  <si>
    <t>Total aerial: Total aerially measured emissions at production and midstream sites, including only emissions above the Transition point. in metric tons per hour.</t>
  </si>
  <si>
    <t>Total aerialP2.5: The 2.5% confidence interval of the above.</t>
  </si>
  <si>
    <t>Total aerialP97.5: The 97.5% confidence interval of the above.</t>
  </si>
  <si>
    <t>Total aerial+partial emissions: Total aerially measured emissions at production and midstream sites, including implied emissions in the partial detection range, including only emissions above the Transition point. in metric tons per hour.</t>
  </si>
  <si>
    <t>Total aerial+partial emissionsP2.5: The 2.5% confidence interval of the above.</t>
  </si>
  <si>
    <t>Total aerial+partial emissionsP97.5: The 97.5% confidence interval of the above.</t>
  </si>
  <si>
    <t>Total sim emissions: Total simulated emissions below the transition point, including the Rutherford et al. model for production and the GHGI-based midstream emissions estimation.</t>
  </si>
  <si>
    <t>Total sim emissionsP2.5: The 2.5% confidence interval of the above.</t>
  </si>
  <si>
    <t>Total sim emissionsP97.5: The 97.5% confidence interval of the above.</t>
  </si>
  <si>
    <t>Total aerial all segments inc below transition: Total aerially measured emissions from production and midstream, including below the transition point. In metric tons per hour.</t>
  </si>
  <si>
    <t>Total aerial all segments inc below transition P2.5: The 2.5% confidence interval of the above.</t>
  </si>
  <si>
    <t>Total aerial all segments inc below transition P97.5: The 97.5% confidence interval of the above.</t>
  </si>
  <si>
    <t>Total pipeline emissions: Total aerially measured pipeline emissions, in metric tons per hour.</t>
  </si>
  <si>
    <t>Total pipeline emissions P2.5: The 2.5% confidence interval of the above.</t>
  </si>
  <si>
    <t>Total pipeline emissions P97.5: The 97.5% confidence interval of the above.</t>
  </si>
  <si>
    <t>Total compressor emissions: Total aerially measured compressor emissions, in metric tons per hour.</t>
  </si>
  <si>
    <t>Total compressor emissions P2.5: The 2.5% confidence interval of the above.</t>
  </si>
  <si>
    <t>Total compressor emissions P97.5: The 97.5% confidence interval of the above.</t>
  </si>
  <si>
    <t>Total processing emissions: Total aerially Gas processing plant pipeline emissions, in metric tons per hour.</t>
  </si>
  <si>
    <t>Total processing emissions P2.5: The 2.5% confidence interval of the above.</t>
  </si>
  <si>
    <t>Total processing emissions P97.5: The 97.5% confidence interval of the above.</t>
  </si>
  <si>
    <t>Total other midstream emissions: Total aerially measured other midstream emissions, in metric tons per hour.</t>
  </si>
  <si>
    <t>Total other midstream emissions P2.5: The 2.5% confidence interval of the above.</t>
  </si>
  <si>
    <t>Total other midstream emissions P97.5: The 97.5% confidence interval of the above.</t>
  </si>
  <si>
    <t>Frac aerial: aerially measured emissions as A Fraction of Total Estimated emissions across the selected campaign. Excludes production emissions below the Transition point.</t>
  </si>
  <si>
    <t>Frac aerial+partial: aerial + partial detection emissions from production and midstream as A Fraction of Total Estimated emissions for the selected campaign.</t>
  </si>
  <si>
    <t>Frac sim: Simulated emissions as a fraction of total estimated emissions across the selected campaign.</t>
  </si>
  <si>
    <t>Frac midstream: midstream emissions as A Fraction of Total Estimated emissions from production and midstream.</t>
  </si>
  <si>
    <t>Frac midstream aerial: aerial midstream emissions as A Fraction of Total Estimated emissions from production and midstream.</t>
  </si>
  <si>
    <t>Total production emissions: Total Estimated emissions from well sites surveyed in the selected scenario, accounting for A Transition point from simulated to aerially measured emissions.</t>
  </si>
  <si>
    <t>Total/sim: Total Estimated well site emissions as A Fraction of Total simulated emissions, including those above the Transition point.</t>
  </si>
  <si>
    <t>production/site covered: Average Methane production per covered well site in the selected scenario.</t>
  </si>
  <si>
    <t>State GHGI: Natural Gas fractional loss rate according to the GHGI in the selected state.</t>
  </si>
  <si>
    <t>NG Methane Fraction</t>
  </si>
  <si>
    <t>kgCH4 per mcfNG: Kilograms of methane per thousand standard cubic feet of methane, converting from the molar methane fraction assumed in Sherwin, Chen et al. 2021 to the molar methane fraction assumed in this study.</t>
  </si>
  <si>
    <t>Full upper errorbar % total: Upper confidence bound on total methane emissions from production and midstream as a percentage of methane production. 95% confidence interval accounts for the fact that many sites were visited multiple times. Confidence interval presented as a percentage of the mean estimate.</t>
  </si>
  <si>
    <t>Full lower errorbar % total: Lower confidence bound on total methane emissions from production and midstream as a percentage of methane production. 95% confidence interval accounts for the fact that many sites were visited multiple times. Confidence interval presented as a percentage of the mean estimate.</t>
  </si>
  <si>
    <t>Partial prod % total: Production emissions in the partial detection range, implied by detected emissions in the same range, as a fraction of total estimated emissions from both production and midstream.</t>
  </si>
  <si>
    <t>Partial mid % total: midstream emissions in the partial detection range, implied by detected emissions in the same range, as a fraction of total estimated emissions from both production and midstream.</t>
  </si>
  <si>
    <t>Tot sim emissions loss rate P2.5: The 2.5% confidence interval of the above.</t>
  </si>
  <si>
    <t>Tot sim emissions loss rate: loss rate from purely simulated emissions, including those above the Transition point.</t>
  </si>
  <si>
    <t>Prod-only State GHGI loss: production segment (well site) Natural Gas loss rate according to the State-level GHGI for the selected scenario.</t>
  </si>
  <si>
    <t>Prod-only state GHGI loss low: Low bound of the above (treated as a 2.5% confidence interval).</t>
  </si>
  <si>
    <t>Tot sim emissions loss rate P97.5: The 97.5% confidence interval of the above.</t>
  </si>
  <si>
    <t>Prod-only state GHGI loss high: Low bound of the above (treated as a 97.5% confidence interval).</t>
  </si>
  <si>
    <t>Total aerial prod emissions inc below transition: Total aerially detected production emissions in metric tons per hour, including those below the transition point.</t>
  </si>
  <si>
    <t>Total aerial prod emissions inc below transition P2.5: The 2.5% confidence interval of the above.</t>
  </si>
  <si>
    <t>Total aerial prod emissions inc below transition P97.5: The 97.5% confidence interval of the above.</t>
  </si>
  <si>
    <t>Total aerial mid emissions inc below transition: Total aerially detected midstream emissions, including below the transition point (if any).</t>
  </si>
  <si>
    <t>Total aerial mid emissions inc below transition P2.5: The 2.5% confidence interval of the above.</t>
  </si>
  <si>
    <t>Total aerial mid emissions inc below transition P97.5: The 97.5% confidence interval of the above.</t>
  </si>
  <si>
    <t>GHGI emissions with ±50% of this study</t>
  </si>
  <si>
    <t>Simulated emissions % GHGI this study</t>
  </si>
  <si>
    <t>Total covered production (t(CH4)/hr): Total methane production from well sites surveyed at least once by the aerial campaign (weighted average over months in which a well site was surveyed).</t>
  </si>
  <si>
    <t>GHGI prod only loss rate</t>
  </si>
  <si>
    <t>Table 22 (and then some)</t>
  </si>
  <si>
    <t>20230824c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</si>
</sst>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
    <numFmt numFmtId="165" formatCode="0.0"/>
    <numFmt numFmtId="166" formatCode="_(* #,##0_);_(* \(#,##0\);_(* &quot;-&quot;??_);_(@_)"/>
    <numFmt numFmtId="167" formatCode="0.000000"/>
    <numFmt numFmtId="168" formatCode="_(* #,##0.0000_);_(* \(#,##0.0000\);_(* &quot;-&quot;??_);_(@_)"/>
    <numFmt numFmtId="169" formatCode="0.000%"/>
  </numFmts>
  <fonts count="4" x14ac:knownFonts="1">
    <font>
      <sz val="12"/>
      <color theme="1"/>
      <name val="Calibri"/>
      <family val="2"/>
      <scheme val="minor"/>
    </font>
    <font>
      <sz val="12"/>
      <color theme="1"/>
      <name val="Calibri"/>
      <family val="2"/>
      <scheme val="minor"/>
    </font>
    <font>
      <sz val="12"/>
      <color rgb="FF000000"/>
      <name val="Calibri"/>
      <family val="2"/>
      <scheme val="minor"/>
    </font>
    <font>
      <b/>
      <sz val="12"/>
      <color theme="1"/>
      <name val="Calibri"/>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5">
    <xf numFmtId="0" fontId="0" fillId="0" borderId="0" xfId="0"/>
    <xf numFmtId="0" fontId="2" fillId="0" borderId="0" xfId="0" applyFont="1"/>
    <xf numFmtId="164" fontId="0" fillId="0" borderId="0" xfId="1" applyNumberFormat="1" applyFont="1"/>
    <xf numFmtId="10" fontId="0" fillId="0" borderId="0" xfId="1" applyNumberFormat="1" applyFont="1"/>
    <xf numFmtId="1" fontId="0" fillId="0" borderId="0" xfId="0" applyNumberFormat="1"/>
    <xf numFmtId="10" fontId="0" fillId="0" borderId="0" xfId="0" applyNumberFormat="1"/>
    <xf numFmtId="165" fontId="0" fillId="0" borderId="0" xfId="0" applyNumberFormat="1"/>
    <xf numFmtId="166" fontId="0" fillId="0" borderId="0" xfId="2" applyNumberFormat="1" applyFont="1"/>
    <xf numFmtId="43" fontId="0" fillId="0" borderId="0" xfId="2" applyNumberFormat="1" applyFont="1"/>
    <xf numFmtId="9" fontId="0" fillId="0" borderId="0" xfId="1" applyFont="1"/>
    <xf numFmtId="166" fontId="0" fillId="0" borderId="0" xfId="0" applyNumberFormat="1"/>
    <xf numFmtId="2" fontId="0" fillId="0" borderId="0" xfId="0" applyNumberFormat="1"/>
    <xf numFmtId="0" fontId="0" fillId="0" borderId="0" xfId="1" applyNumberFormat="1" applyFont="1"/>
    <xf numFmtId="0" fontId="0" fillId="0" borderId="0" xfId="0" applyNumberFormat="1"/>
    <xf numFmtId="43" fontId="0" fillId="0" borderId="0" xfId="0" applyNumberFormat="1"/>
    <xf numFmtId="11" fontId="0" fillId="0" borderId="0" xfId="0" applyNumberFormat="1"/>
    <xf numFmtId="166" fontId="2" fillId="0" borderId="0" xfId="0" applyNumberFormat="1" applyFont="1"/>
    <xf numFmtId="10" fontId="1" fillId="0" borderId="0" xfId="1" applyNumberFormat="1" applyFont="1"/>
    <xf numFmtId="164" fontId="0" fillId="0" borderId="0" xfId="0" applyNumberFormat="1"/>
    <xf numFmtId="0" fontId="0" fillId="0" borderId="1" xfId="0" applyBorder="1"/>
    <xf numFmtId="167" fontId="0" fillId="0" borderId="0" xfId="0" applyNumberFormat="1"/>
    <xf numFmtId="168" fontId="0" fillId="0" borderId="0" xfId="2" applyNumberFormat="1" applyFont="1"/>
    <xf numFmtId="0" fontId="3" fillId="0" borderId="0" xfId="0" applyFont="1"/>
    <xf numFmtId="9" fontId="0" fillId="0" borderId="0" xfId="1" applyNumberFormat="1" applyFont="1"/>
    <xf numFmtId="169" fontId="0" fillId="0" borderId="0" xfId="1" applyNumberFormat="1" applyFont="1"/>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4D91-20EA-5B49-A447-2C2C78A5B11B}">
  <dimension ref="A1:A141"/>
  <sheetViews>
    <sheetView topLeftCell="A44" workbookViewId="0">
      <selection activeCell="H48" sqref="H48"/>
    </sheetView>
  </sheetViews>
  <sheetFormatPr baseColWidth="10" defaultRowHeight="16" x14ac:dyDescent="0.2"/>
  <sheetData>
    <row r="1" spans="1:1" x14ac:dyDescent="0.2">
      <c r="A1" t="s">
        <v>244</v>
      </c>
    </row>
    <row r="2" spans="1:1" x14ac:dyDescent="0.2">
      <c r="A2" t="s">
        <v>245</v>
      </c>
    </row>
    <row r="3" spans="1:1" x14ac:dyDescent="0.2">
      <c r="A3" t="s">
        <v>291</v>
      </c>
    </row>
    <row r="4" spans="1:1" x14ac:dyDescent="0.2">
      <c r="A4" t="s">
        <v>292</v>
      </c>
    </row>
    <row r="5" spans="1:1" x14ac:dyDescent="0.2">
      <c r="A5" t="s">
        <v>293</v>
      </c>
    </row>
    <row r="6" spans="1:1" x14ac:dyDescent="0.2">
      <c r="A6" t="s">
        <v>294</v>
      </c>
    </row>
    <row r="7" spans="1:1" x14ac:dyDescent="0.2">
      <c r="A7" t="s">
        <v>295</v>
      </c>
    </row>
    <row r="8" spans="1:1" x14ac:dyDescent="0.2">
      <c r="A8" t="s">
        <v>296</v>
      </c>
    </row>
    <row r="9" spans="1:1" x14ac:dyDescent="0.2">
      <c r="A9" t="s">
        <v>297</v>
      </c>
    </row>
    <row r="10" spans="1:1" x14ac:dyDescent="0.2">
      <c r="A10" t="s">
        <v>298</v>
      </c>
    </row>
    <row r="11" spans="1:1" x14ac:dyDescent="0.2">
      <c r="A11" t="s">
        <v>299</v>
      </c>
    </row>
    <row r="12" spans="1:1" x14ac:dyDescent="0.2">
      <c r="A12" t="s">
        <v>300</v>
      </c>
    </row>
    <row r="13" spans="1:1" x14ac:dyDescent="0.2">
      <c r="A13" t="s">
        <v>301</v>
      </c>
    </row>
    <row r="14" spans="1:1" x14ac:dyDescent="0.2">
      <c r="A14" t="s">
        <v>302</v>
      </c>
    </row>
    <row r="15" spans="1:1" x14ac:dyDescent="0.2">
      <c r="A15" t="s">
        <v>303</v>
      </c>
    </row>
    <row r="16" spans="1:1" x14ac:dyDescent="0.2">
      <c r="A16" t="s">
        <v>304</v>
      </c>
    </row>
    <row r="17" spans="1:1" x14ac:dyDescent="0.2">
      <c r="A17" t="s">
        <v>305</v>
      </c>
    </row>
    <row r="18" spans="1:1" x14ac:dyDescent="0.2">
      <c r="A18" t="s">
        <v>306</v>
      </c>
    </row>
    <row r="19" spans="1:1" x14ac:dyDescent="0.2">
      <c r="A19" t="s">
        <v>290</v>
      </c>
    </row>
    <row r="20" spans="1:1" x14ac:dyDescent="0.2">
      <c r="A20" t="s">
        <v>307</v>
      </c>
    </row>
    <row r="21" spans="1:1" x14ac:dyDescent="0.2">
      <c r="A21" t="s">
        <v>308</v>
      </c>
    </row>
    <row r="22" spans="1:1" x14ac:dyDescent="0.2">
      <c r="A22" t="s">
        <v>309</v>
      </c>
    </row>
    <row r="23" spans="1:1" x14ac:dyDescent="0.2">
      <c r="A23" t="s">
        <v>310</v>
      </c>
    </row>
    <row r="24" spans="1:1" x14ac:dyDescent="0.2">
      <c r="A24" t="s">
        <v>311</v>
      </c>
    </row>
    <row r="25" spans="1:1" x14ac:dyDescent="0.2">
      <c r="A25" t="s">
        <v>312</v>
      </c>
    </row>
    <row r="26" spans="1:1" x14ac:dyDescent="0.2">
      <c r="A26" t="s">
        <v>313</v>
      </c>
    </row>
    <row r="27" spans="1:1" x14ac:dyDescent="0.2">
      <c r="A27" t="s">
        <v>316</v>
      </c>
    </row>
    <row r="28" spans="1:1" x14ac:dyDescent="0.2">
      <c r="A28" t="s">
        <v>314</v>
      </c>
    </row>
    <row r="29" spans="1:1" x14ac:dyDescent="0.2">
      <c r="A29" t="s">
        <v>317</v>
      </c>
    </row>
    <row r="30" spans="1:1" x14ac:dyDescent="0.2">
      <c r="A30" t="s">
        <v>315</v>
      </c>
    </row>
    <row r="31" spans="1:1" x14ac:dyDescent="0.2">
      <c r="A31" t="s">
        <v>430</v>
      </c>
    </row>
    <row r="32" spans="1:1" x14ac:dyDescent="0.2">
      <c r="A32" t="s">
        <v>318</v>
      </c>
    </row>
    <row r="33" spans="1:1" x14ac:dyDescent="0.2">
      <c r="A33" t="s">
        <v>319</v>
      </c>
    </row>
    <row r="34" spans="1:1" x14ac:dyDescent="0.2">
      <c r="A34" t="s">
        <v>320</v>
      </c>
    </row>
    <row r="35" spans="1:1" x14ac:dyDescent="0.2">
      <c r="A35" t="s">
        <v>321</v>
      </c>
    </row>
    <row r="36" spans="1:1" x14ac:dyDescent="0.2">
      <c r="A36" t="s">
        <v>322</v>
      </c>
    </row>
    <row r="37" spans="1:1" x14ac:dyDescent="0.2">
      <c r="A37" t="s">
        <v>323</v>
      </c>
    </row>
    <row r="38" spans="1:1" x14ac:dyDescent="0.2">
      <c r="A38" t="s">
        <v>324</v>
      </c>
    </row>
    <row r="39" spans="1:1" x14ac:dyDescent="0.2">
      <c r="A39" t="s">
        <v>325</v>
      </c>
    </row>
    <row r="40" spans="1:1" x14ac:dyDescent="0.2">
      <c r="A40" t="s">
        <v>326</v>
      </c>
    </row>
    <row r="41" spans="1:1" x14ac:dyDescent="0.2">
      <c r="A41" t="s">
        <v>327</v>
      </c>
    </row>
    <row r="42" spans="1:1" x14ac:dyDescent="0.2">
      <c r="A42" t="s">
        <v>329</v>
      </c>
    </row>
    <row r="43" spans="1:1" x14ac:dyDescent="0.2">
      <c r="A43" t="s">
        <v>328</v>
      </c>
    </row>
    <row r="44" spans="1:1" x14ac:dyDescent="0.2">
      <c r="A44" t="s">
        <v>330</v>
      </c>
    </row>
    <row r="45" spans="1:1" x14ac:dyDescent="0.2">
      <c r="A45" t="s">
        <v>331</v>
      </c>
    </row>
    <row r="46" spans="1:1" x14ac:dyDescent="0.2">
      <c r="A46" t="s">
        <v>332</v>
      </c>
    </row>
    <row r="47" spans="1:1" x14ac:dyDescent="0.2">
      <c r="A47" t="s">
        <v>333</v>
      </c>
    </row>
    <row r="48" spans="1:1" x14ac:dyDescent="0.2">
      <c r="A48" t="s">
        <v>334</v>
      </c>
    </row>
    <row r="49" spans="1:1" x14ac:dyDescent="0.2">
      <c r="A49" t="s">
        <v>335</v>
      </c>
    </row>
    <row r="50" spans="1:1" x14ac:dyDescent="0.2">
      <c r="A50" t="s">
        <v>336</v>
      </c>
    </row>
    <row r="51" spans="1:1" x14ac:dyDescent="0.2">
      <c r="A51" t="s">
        <v>337</v>
      </c>
    </row>
    <row r="52" spans="1:1" x14ac:dyDescent="0.2">
      <c r="A52" t="s">
        <v>338</v>
      </c>
    </row>
    <row r="53" spans="1:1" x14ac:dyDescent="0.2">
      <c r="A53" t="s">
        <v>339</v>
      </c>
    </row>
    <row r="54" spans="1:1" x14ac:dyDescent="0.2">
      <c r="A54" t="s">
        <v>340</v>
      </c>
    </row>
    <row r="55" spans="1:1" x14ac:dyDescent="0.2">
      <c r="A55" t="s">
        <v>341</v>
      </c>
    </row>
    <row r="56" spans="1:1" x14ac:dyDescent="0.2">
      <c r="A56" t="s">
        <v>342</v>
      </c>
    </row>
    <row r="57" spans="1:1" x14ac:dyDescent="0.2">
      <c r="A57" t="s">
        <v>343</v>
      </c>
    </row>
    <row r="58" spans="1:1" x14ac:dyDescent="0.2">
      <c r="A58" t="s">
        <v>344</v>
      </c>
    </row>
    <row r="59" spans="1:1" x14ac:dyDescent="0.2">
      <c r="A59" t="s">
        <v>345</v>
      </c>
    </row>
    <row r="60" spans="1:1" x14ac:dyDescent="0.2">
      <c r="A60" t="s">
        <v>346</v>
      </c>
    </row>
    <row r="61" spans="1:1" x14ac:dyDescent="0.2">
      <c r="A61" t="s">
        <v>347</v>
      </c>
    </row>
    <row r="62" spans="1:1" x14ac:dyDescent="0.2">
      <c r="A62" t="s">
        <v>348</v>
      </c>
    </row>
    <row r="63" spans="1:1" x14ac:dyDescent="0.2">
      <c r="A63" t="s">
        <v>349</v>
      </c>
    </row>
    <row r="64" spans="1:1" x14ac:dyDescent="0.2">
      <c r="A64" t="s">
        <v>350</v>
      </c>
    </row>
    <row r="65" spans="1:1" x14ac:dyDescent="0.2">
      <c r="A65" t="s">
        <v>351</v>
      </c>
    </row>
    <row r="66" spans="1:1" x14ac:dyDescent="0.2">
      <c r="A66" t="s">
        <v>352</v>
      </c>
    </row>
    <row r="67" spans="1:1" x14ac:dyDescent="0.2">
      <c r="A67" t="s">
        <v>353</v>
      </c>
    </row>
    <row r="68" spans="1:1" x14ac:dyDescent="0.2">
      <c r="A68" t="s">
        <v>354</v>
      </c>
    </row>
    <row r="69" spans="1:1" x14ac:dyDescent="0.2">
      <c r="A69" t="s">
        <v>355</v>
      </c>
    </row>
    <row r="70" spans="1:1" x14ac:dyDescent="0.2">
      <c r="A70" t="s">
        <v>356</v>
      </c>
    </row>
    <row r="71" spans="1:1" x14ac:dyDescent="0.2">
      <c r="A71" t="s">
        <v>357</v>
      </c>
    </row>
    <row r="72" spans="1:1" x14ac:dyDescent="0.2">
      <c r="A72" t="s">
        <v>358</v>
      </c>
    </row>
    <row r="73" spans="1:1" x14ac:dyDescent="0.2">
      <c r="A73" t="s">
        <v>359</v>
      </c>
    </row>
    <row r="74" spans="1:1" x14ac:dyDescent="0.2">
      <c r="A74" t="s">
        <v>360</v>
      </c>
    </row>
    <row r="75" spans="1:1" x14ac:dyDescent="0.2">
      <c r="A75" t="s">
        <v>361</v>
      </c>
    </row>
    <row r="76" spans="1:1" x14ac:dyDescent="0.2">
      <c r="A76" t="s">
        <v>362</v>
      </c>
    </row>
    <row r="77" spans="1:1" x14ac:dyDescent="0.2">
      <c r="A77" t="s">
        <v>363</v>
      </c>
    </row>
    <row r="78" spans="1:1" x14ac:dyDescent="0.2">
      <c r="A78" t="s">
        <v>364</v>
      </c>
    </row>
    <row r="79" spans="1:1" x14ac:dyDescent="0.2">
      <c r="A79" t="s">
        <v>365</v>
      </c>
    </row>
    <row r="80" spans="1:1" x14ac:dyDescent="0.2">
      <c r="A80" t="s">
        <v>366</v>
      </c>
    </row>
    <row r="81" spans="1:1" x14ac:dyDescent="0.2">
      <c r="A81" t="s">
        <v>367</v>
      </c>
    </row>
    <row r="82" spans="1:1" x14ac:dyDescent="0.2">
      <c r="A82" t="s">
        <v>368</v>
      </c>
    </row>
    <row r="83" spans="1:1" x14ac:dyDescent="0.2">
      <c r="A83" t="s">
        <v>369</v>
      </c>
    </row>
    <row r="84" spans="1:1" x14ac:dyDescent="0.2">
      <c r="A84" t="s">
        <v>370</v>
      </c>
    </row>
    <row r="85" spans="1:1" x14ac:dyDescent="0.2">
      <c r="A85" t="s">
        <v>371</v>
      </c>
    </row>
    <row r="86" spans="1:1" x14ac:dyDescent="0.2">
      <c r="A86" t="s">
        <v>373</v>
      </c>
    </row>
    <row r="87" spans="1:1" x14ac:dyDescent="0.2">
      <c r="A87" t="s">
        <v>374</v>
      </c>
    </row>
    <row r="88" spans="1:1" x14ac:dyDescent="0.2">
      <c r="A88" t="s">
        <v>372</v>
      </c>
    </row>
    <row r="89" spans="1:1" x14ac:dyDescent="0.2">
      <c r="A89" t="s">
        <v>375</v>
      </c>
    </row>
    <row r="90" spans="1:1" x14ac:dyDescent="0.2">
      <c r="A90" t="s">
        <v>376</v>
      </c>
    </row>
    <row r="91" spans="1:1" x14ac:dyDescent="0.2">
      <c r="A91" t="s">
        <v>377</v>
      </c>
    </row>
    <row r="92" spans="1:1" x14ac:dyDescent="0.2">
      <c r="A92" t="s">
        <v>378</v>
      </c>
    </row>
    <row r="93" spans="1:1" x14ac:dyDescent="0.2">
      <c r="A93" t="s">
        <v>379</v>
      </c>
    </row>
    <row r="94" spans="1:1" x14ac:dyDescent="0.2">
      <c r="A94" t="s">
        <v>380</v>
      </c>
    </row>
    <row r="95" spans="1:1" x14ac:dyDescent="0.2">
      <c r="A95" t="s">
        <v>381</v>
      </c>
    </row>
    <row r="96" spans="1:1" x14ac:dyDescent="0.2">
      <c r="A96" t="s">
        <v>382</v>
      </c>
    </row>
    <row r="97" spans="1:1" x14ac:dyDescent="0.2">
      <c r="A97" t="s">
        <v>383</v>
      </c>
    </row>
    <row r="98" spans="1:1" x14ac:dyDescent="0.2">
      <c r="A98" t="s">
        <v>384</v>
      </c>
    </row>
    <row r="99" spans="1:1" x14ac:dyDescent="0.2">
      <c r="A99" t="s">
        <v>385</v>
      </c>
    </row>
    <row r="100" spans="1:1" x14ac:dyDescent="0.2">
      <c r="A100" t="s">
        <v>386</v>
      </c>
    </row>
    <row r="101" spans="1:1" x14ac:dyDescent="0.2">
      <c r="A101" t="s">
        <v>387</v>
      </c>
    </row>
    <row r="102" spans="1:1" x14ac:dyDescent="0.2">
      <c r="A102" t="s">
        <v>388</v>
      </c>
    </row>
    <row r="103" spans="1:1" x14ac:dyDescent="0.2">
      <c r="A103" t="s">
        <v>389</v>
      </c>
    </row>
    <row r="104" spans="1:1" x14ac:dyDescent="0.2">
      <c r="A104" t="s">
        <v>390</v>
      </c>
    </row>
    <row r="105" spans="1:1" x14ac:dyDescent="0.2">
      <c r="A105" t="s">
        <v>391</v>
      </c>
    </row>
    <row r="106" spans="1:1" x14ac:dyDescent="0.2">
      <c r="A106" t="s">
        <v>392</v>
      </c>
    </row>
    <row r="107" spans="1:1" x14ac:dyDescent="0.2">
      <c r="A107" t="s">
        <v>393</v>
      </c>
    </row>
    <row r="108" spans="1:1" x14ac:dyDescent="0.2">
      <c r="A108" t="s">
        <v>394</v>
      </c>
    </row>
    <row r="109" spans="1:1" x14ac:dyDescent="0.2">
      <c r="A109" t="s">
        <v>395</v>
      </c>
    </row>
    <row r="110" spans="1:1" x14ac:dyDescent="0.2">
      <c r="A110" t="s">
        <v>396</v>
      </c>
    </row>
    <row r="111" spans="1:1" x14ac:dyDescent="0.2">
      <c r="A111" t="s">
        <v>397</v>
      </c>
    </row>
    <row r="112" spans="1:1" x14ac:dyDescent="0.2">
      <c r="A112" t="s">
        <v>398</v>
      </c>
    </row>
    <row r="113" spans="1:1" x14ac:dyDescent="0.2">
      <c r="A113" t="s">
        <v>399</v>
      </c>
    </row>
    <row r="114" spans="1:1" x14ac:dyDescent="0.2">
      <c r="A114" t="s">
        <v>400</v>
      </c>
    </row>
    <row r="115" spans="1:1" x14ac:dyDescent="0.2">
      <c r="A115" t="s">
        <v>401</v>
      </c>
    </row>
    <row r="116" spans="1:1" x14ac:dyDescent="0.2">
      <c r="A116" t="s">
        <v>402</v>
      </c>
    </row>
    <row r="117" spans="1:1" x14ac:dyDescent="0.2">
      <c r="A117" t="s">
        <v>403</v>
      </c>
    </row>
    <row r="118" spans="1:1" x14ac:dyDescent="0.2">
      <c r="A118" t="s">
        <v>404</v>
      </c>
    </row>
    <row r="119" spans="1:1" x14ac:dyDescent="0.2">
      <c r="A119" t="s">
        <v>405</v>
      </c>
    </row>
    <row r="120" spans="1:1" x14ac:dyDescent="0.2">
      <c r="A120" t="s">
        <v>406</v>
      </c>
    </row>
    <row r="121" spans="1:1" x14ac:dyDescent="0.2">
      <c r="A121" t="s">
        <v>407</v>
      </c>
    </row>
    <row r="122" spans="1:1" x14ac:dyDescent="0.2">
      <c r="A122" t="s">
        <v>408</v>
      </c>
    </row>
    <row r="123" spans="1:1" x14ac:dyDescent="0.2">
      <c r="A123" t="s">
        <v>409</v>
      </c>
    </row>
    <row r="124" spans="1:1" x14ac:dyDescent="0.2">
      <c r="A124" t="s">
        <v>410</v>
      </c>
    </row>
    <row r="125" spans="1:1" x14ac:dyDescent="0.2">
      <c r="A125" t="s">
        <v>411</v>
      </c>
    </row>
    <row r="126" spans="1:1" x14ac:dyDescent="0.2">
      <c r="A126" t="s">
        <v>412</v>
      </c>
    </row>
    <row r="127" spans="1:1" x14ac:dyDescent="0.2">
      <c r="A127" t="s">
        <v>413</v>
      </c>
    </row>
    <row r="128" spans="1:1" x14ac:dyDescent="0.2">
      <c r="A128" t="s">
        <v>414</v>
      </c>
    </row>
    <row r="129" spans="1:1" x14ac:dyDescent="0.2">
      <c r="A129" t="s">
        <v>415</v>
      </c>
    </row>
    <row r="130" spans="1:1" x14ac:dyDescent="0.2">
      <c r="A130" t="s">
        <v>417</v>
      </c>
    </row>
    <row r="131" spans="1:1" x14ac:dyDescent="0.2">
      <c r="A131" t="s">
        <v>416</v>
      </c>
    </row>
    <row r="132" spans="1:1" x14ac:dyDescent="0.2">
      <c r="A132" t="s">
        <v>420</v>
      </c>
    </row>
    <row r="133" spans="1:1" x14ac:dyDescent="0.2">
      <c r="A133" t="s">
        <v>418</v>
      </c>
    </row>
    <row r="134" spans="1:1" x14ac:dyDescent="0.2">
      <c r="A134" t="s">
        <v>419</v>
      </c>
    </row>
    <row r="135" spans="1:1" x14ac:dyDescent="0.2">
      <c r="A135" t="s">
        <v>421</v>
      </c>
    </row>
    <row r="136" spans="1:1" x14ac:dyDescent="0.2">
      <c r="A136" t="s">
        <v>422</v>
      </c>
    </row>
    <row r="137" spans="1:1" x14ac:dyDescent="0.2">
      <c r="A137" t="s">
        <v>423</v>
      </c>
    </row>
    <row r="138" spans="1:1" x14ac:dyDescent="0.2">
      <c r="A138" t="s">
        <v>424</v>
      </c>
    </row>
    <row r="139" spans="1:1" x14ac:dyDescent="0.2">
      <c r="A139" t="s">
        <v>425</v>
      </c>
    </row>
    <row r="140" spans="1:1" x14ac:dyDescent="0.2">
      <c r="A140" t="s">
        <v>426</v>
      </c>
    </row>
    <row r="141" spans="1:1" x14ac:dyDescent="0.2">
      <c r="A141" t="s">
        <v>427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4DE12-06D3-DE48-9444-8601A6E70870}">
  <dimension ref="A1:EF55"/>
  <sheetViews>
    <sheetView tabSelected="1" workbookViewId="0">
      <pane xSplit="1" ySplit="1" topLeftCell="B2" activePane="bottomRight" state="frozen"/>
      <selection pane="topRight" activeCell="B1" sqref="B1"/>
      <selection pane="bottomLeft" activeCell="A2" sqref="A2"/>
      <selection pane="bottomRight" activeCell="A20" sqref="A20"/>
    </sheetView>
  </sheetViews>
  <sheetFormatPr baseColWidth="10" defaultRowHeight="16" x14ac:dyDescent="0.2"/>
  <cols>
    <col min="1" max="1" width="21.1640625" customWidth="1"/>
    <col min="2" max="2" width="14.5" customWidth="1"/>
    <col min="3" max="8" width="11" bestFit="1" customWidth="1"/>
    <col min="9" max="10" width="11" customWidth="1"/>
    <col min="11" max="13" width="11" bestFit="1" customWidth="1"/>
    <col min="14" max="14" width="17.83203125" customWidth="1"/>
    <col min="15" max="15" width="16.83203125" customWidth="1"/>
    <col min="16" max="17" width="16.1640625" customWidth="1"/>
    <col min="18" max="18" width="11" bestFit="1" customWidth="1"/>
    <col min="19" max="19" width="17.6640625" customWidth="1"/>
    <col min="20" max="20" width="18.5" customWidth="1"/>
    <col min="21" max="21" width="17.6640625" bestFit="1" customWidth="1"/>
    <col min="22" max="22" width="11" bestFit="1" customWidth="1"/>
    <col min="23" max="23" width="11.1640625" bestFit="1" customWidth="1"/>
    <col min="24" max="24" width="11.6640625" bestFit="1" customWidth="1"/>
    <col min="25" max="25" width="18.5" customWidth="1"/>
    <col min="26" max="34" width="11" bestFit="1" customWidth="1"/>
    <col min="35" max="35" width="13.33203125" bestFit="1" customWidth="1"/>
    <col min="36" max="36" width="13.33203125" customWidth="1"/>
    <col min="37" max="40" width="11" bestFit="1" customWidth="1"/>
    <col min="41" max="41" width="11" customWidth="1"/>
    <col min="42" max="42" width="11" bestFit="1" customWidth="1"/>
    <col min="43" max="43" width="12.33203125" customWidth="1"/>
    <col min="44" max="45" width="11" bestFit="1" customWidth="1"/>
    <col min="46" max="46" width="20" customWidth="1"/>
    <col min="47" max="47" width="27.1640625" customWidth="1"/>
    <col min="48" max="48" width="16.5" customWidth="1"/>
    <col min="49" max="49" width="17.5" customWidth="1"/>
    <col min="50" max="59" width="11" bestFit="1" customWidth="1"/>
    <col min="60" max="60" width="15.1640625" customWidth="1"/>
    <col min="61" max="69" width="11" bestFit="1" customWidth="1"/>
    <col min="70" max="75" width="14" style="13" customWidth="1"/>
    <col min="76" max="76" width="19.6640625" style="13" customWidth="1"/>
    <col min="77" max="79" width="11" bestFit="1" customWidth="1"/>
    <col min="84" max="84" width="21" bestFit="1" customWidth="1"/>
    <col min="85" max="85" width="20.33203125" bestFit="1" customWidth="1"/>
    <col min="90" max="90" width="23.1640625" bestFit="1" customWidth="1"/>
  </cols>
  <sheetData>
    <row r="1" spans="1:136" x14ac:dyDescent="0.2">
      <c r="A1" t="s">
        <v>100</v>
      </c>
      <c r="B1" s="1" t="s">
        <v>262</v>
      </c>
      <c r="C1" s="1" t="s">
        <v>263</v>
      </c>
      <c r="D1" s="1" t="s">
        <v>264</v>
      </c>
      <c r="E1" s="1" t="s">
        <v>265</v>
      </c>
      <c r="F1" s="1" t="s">
        <v>266</v>
      </c>
      <c r="G1" s="1" t="s">
        <v>267</v>
      </c>
      <c r="H1" s="1" t="s">
        <v>268</v>
      </c>
      <c r="I1" s="1" t="s">
        <v>269</v>
      </c>
      <c r="J1" s="1" t="s">
        <v>270</v>
      </c>
      <c r="K1" s="1" t="s">
        <v>271</v>
      </c>
      <c r="L1" s="1" t="s">
        <v>272</v>
      </c>
      <c r="M1" s="1" t="s">
        <v>273</v>
      </c>
      <c r="N1" s="1" t="s">
        <v>63</v>
      </c>
      <c r="O1" s="1" t="s">
        <v>64</v>
      </c>
      <c r="P1" s="1" t="s">
        <v>65</v>
      </c>
      <c r="Q1" s="1" t="s">
        <v>61</v>
      </c>
      <c r="R1" s="1" t="s">
        <v>66</v>
      </c>
      <c r="S1" s="1" t="s">
        <v>274</v>
      </c>
      <c r="T1" s="1" t="s">
        <v>275</v>
      </c>
      <c r="U1" s="1" t="s">
        <v>276</v>
      </c>
      <c r="V1" s="1" t="s">
        <v>12</v>
      </c>
      <c r="W1" s="1" t="s">
        <v>80</v>
      </c>
      <c r="X1" s="1" t="s">
        <v>13</v>
      </c>
      <c r="Y1" s="1" t="s">
        <v>23</v>
      </c>
      <c r="Z1" s="1" t="s">
        <v>24</v>
      </c>
      <c r="AA1" s="1" t="s">
        <v>28</v>
      </c>
      <c r="AB1" s="1" t="s">
        <v>29</v>
      </c>
      <c r="AC1" s="1" t="s">
        <v>35</v>
      </c>
      <c r="AD1" s="1" t="s">
        <v>54</v>
      </c>
      <c r="AE1" s="1" t="s">
        <v>55</v>
      </c>
      <c r="AF1" s="1" t="s">
        <v>56</v>
      </c>
      <c r="AG1" s="1" t="s">
        <v>57</v>
      </c>
      <c r="AH1" s="1" t="s">
        <v>58</v>
      </c>
      <c r="AI1" s="1" t="s">
        <v>59</v>
      </c>
      <c r="AJ1" s="1" t="s">
        <v>243</v>
      </c>
      <c r="AK1" s="1" t="s">
        <v>20</v>
      </c>
      <c r="AL1" s="1" t="s">
        <v>30</v>
      </c>
      <c r="AM1" s="1" t="s">
        <v>33</v>
      </c>
      <c r="AN1" s="1" t="s">
        <v>137</v>
      </c>
      <c r="AO1" s="1" t="s">
        <v>277</v>
      </c>
      <c r="AP1" s="1" t="s">
        <v>44</v>
      </c>
      <c r="AQ1" s="1" t="s">
        <v>138</v>
      </c>
      <c r="AR1" s="1" t="s">
        <v>82</v>
      </c>
      <c r="AS1" s="1" t="s">
        <v>81</v>
      </c>
      <c r="AT1" s="1" t="s">
        <v>139</v>
      </c>
      <c r="AU1" s="1" t="s">
        <v>278</v>
      </c>
      <c r="AV1" s="1" t="s">
        <v>279</v>
      </c>
      <c r="AW1" s="1" t="s">
        <v>280</v>
      </c>
      <c r="AX1" s="1" t="s">
        <v>281</v>
      </c>
      <c r="AY1" s="1" t="s">
        <v>282</v>
      </c>
      <c r="AZ1" s="1" t="s">
        <v>283</v>
      </c>
      <c r="BA1" s="1" t="s">
        <v>284</v>
      </c>
      <c r="BB1" s="1" t="s">
        <v>285</v>
      </c>
      <c r="BC1" s="1" t="s">
        <v>286</v>
      </c>
      <c r="BD1" s="1" t="s">
        <v>287</v>
      </c>
      <c r="BE1" s="1" t="s">
        <v>288</v>
      </c>
      <c r="BF1" s="1" t="s">
        <v>289</v>
      </c>
      <c r="BG1" s="1" t="s">
        <v>79</v>
      </c>
      <c r="BH1" s="1" t="s">
        <v>149</v>
      </c>
      <c r="BI1" s="1" t="s">
        <v>150</v>
      </c>
      <c r="BJ1" s="1" t="s">
        <v>15</v>
      </c>
      <c r="BK1" s="1" t="s">
        <v>37</v>
      </c>
      <c r="BL1" s="1" t="s">
        <v>38</v>
      </c>
      <c r="BM1" s="1" t="s">
        <v>39</v>
      </c>
      <c r="BN1" s="1" t="s">
        <v>40</v>
      </c>
      <c r="BO1" s="1" t="s">
        <v>151</v>
      </c>
      <c r="BP1" s="1" t="s">
        <v>152</v>
      </c>
      <c r="BQ1" s="1" t="s">
        <v>153</v>
      </c>
      <c r="BR1" s="1" t="s">
        <v>62</v>
      </c>
      <c r="BS1" s="1" t="s">
        <v>154</v>
      </c>
      <c r="BT1" s="1" t="s">
        <v>155</v>
      </c>
      <c r="BU1" s="1" t="s">
        <v>67</v>
      </c>
      <c r="BV1" s="1" t="s">
        <v>156</v>
      </c>
      <c r="BW1" s="1" t="s">
        <v>157</v>
      </c>
      <c r="BX1" s="1" t="s">
        <v>158</v>
      </c>
      <c r="BY1" s="1" t="s">
        <v>159</v>
      </c>
      <c r="BZ1" s="1" t="s">
        <v>160</v>
      </c>
      <c r="CA1" s="1" t="s">
        <v>161</v>
      </c>
      <c r="CB1" s="1" t="s">
        <v>162</v>
      </c>
      <c r="CC1" s="1" t="s">
        <v>21</v>
      </c>
      <c r="CD1" s="1" t="s">
        <v>163</v>
      </c>
      <c r="CE1" s="1" t="s">
        <v>164</v>
      </c>
      <c r="CF1" s="1" t="s">
        <v>34</v>
      </c>
      <c r="CG1" s="1" t="s">
        <v>36</v>
      </c>
      <c r="CH1" s="1" t="s">
        <v>73</v>
      </c>
      <c r="CI1" s="1" t="s">
        <v>165</v>
      </c>
      <c r="CJ1" s="1" t="s">
        <v>166</v>
      </c>
      <c r="CK1" s="1" t="s">
        <v>70</v>
      </c>
      <c r="CL1" s="1" t="s">
        <v>167</v>
      </c>
      <c r="CM1" s="1" t="s">
        <v>168</v>
      </c>
      <c r="CN1" s="1" t="s">
        <v>20</v>
      </c>
      <c r="CO1" s="1" t="s">
        <v>169</v>
      </c>
      <c r="CP1" s="1" t="s">
        <v>170</v>
      </c>
      <c r="CQ1" s="1" t="s">
        <v>232</v>
      </c>
      <c r="CR1" s="1" t="s">
        <v>233</v>
      </c>
      <c r="CS1" s="1" t="s">
        <v>234</v>
      </c>
      <c r="CT1" s="1" t="s">
        <v>174</v>
      </c>
      <c r="CU1" s="1" t="s">
        <v>175</v>
      </c>
      <c r="CV1" s="1" t="s">
        <v>176</v>
      </c>
      <c r="CW1" s="1" t="s">
        <v>177</v>
      </c>
      <c r="CX1" s="1" t="s">
        <v>178</v>
      </c>
      <c r="CY1" s="1" t="s">
        <v>179</v>
      </c>
      <c r="CZ1" s="1" t="s">
        <v>180</v>
      </c>
      <c r="DA1" s="1" t="s">
        <v>181</v>
      </c>
      <c r="DB1" s="1" t="s">
        <v>182</v>
      </c>
      <c r="DC1" s="1" t="s">
        <v>183</v>
      </c>
      <c r="DD1" s="1" t="s">
        <v>184</v>
      </c>
      <c r="DE1" s="1" t="s">
        <v>185</v>
      </c>
      <c r="DF1" s="1" t="s">
        <v>74</v>
      </c>
      <c r="DG1" s="1" t="s">
        <v>71</v>
      </c>
      <c r="DH1" s="1" t="s">
        <v>72</v>
      </c>
      <c r="DI1" s="1" t="s">
        <v>75</v>
      </c>
      <c r="DJ1" s="1" t="s">
        <v>76</v>
      </c>
      <c r="DK1" s="1" t="s">
        <v>69</v>
      </c>
      <c r="DL1" s="1" t="s">
        <v>22</v>
      </c>
      <c r="DM1" s="1" t="s">
        <v>25</v>
      </c>
      <c r="DN1" s="1" t="s">
        <v>105</v>
      </c>
      <c r="DO1" s="1" t="s">
        <v>108</v>
      </c>
      <c r="DP1" s="1" t="s">
        <v>109</v>
      </c>
      <c r="DQ1" s="1" t="s">
        <v>124</v>
      </c>
      <c r="DR1" s="1" t="s">
        <v>125</v>
      </c>
      <c r="DS1" s="1" t="s">
        <v>126</v>
      </c>
      <c r="DT1" s="1" t="s">
        <v>127</v>
      </c>
      <c r="DU1" s="1" t="s">
        <v>211</v>
      </c>
      <c r="DV1" s="1" t="s">
        <v>212</v>
      </c>
      <c r="DW1" s="1" t="s">
        <v>213</v>
      </c>
      <c r="DX1" s="1" t="s">
        <v>214</v>
      </c>
      <c r="DY1" s="1" t="s">
        <v>215</v>
      </c>
      <c r="DZ1" s="1" t="s">
        <v>216</v>
      </c>
      <c r="EA1" s="1" t="s">
        <v>235</v>
      </c>
      <c r="EB1" s="1" t="s">
        <v>236</v>
      </c>
      <c r="EC1" s="1" t="s">
        <v>237</v>
      </c>
      <c r="ED1" s="1" t="s">
        <v>238</v>
      </c>
      <c r="EE1" s="1" t="s">
        <v>239</v>
      </c>
      <c r="EF1" s="1" t="s">
        <v>240</v>
      </c>
    </row>
    <row r="2" spans="1:136" x14ac:dyDescent="0.2">
      <c r="A2" t="s">
        <v>101</v>
      </c>
      <c r="B2">
        <v>17.949235744509402</v>
      </c>
      <c r="C2">
        <v>17.537877023578901</v>
      </c>
      <c r="D2">
        <v>18.326476889685399</v>
      </c>
      <c r="E2">
        <v>86.439044022233503</v>
      </c>
      <c r="F2">
        <v>80.887802572440194</v>
      </c>
      <c r="G2">
        <v>92.5868524586798</v>
      </c>
      <c r="H2">
        <v>4.7362824710361799</v>
      </c>
      <c r="I2">
        <v>4.05060162171584</v>
      </c>
      <c r="J2">
        <v>5.4966804996922498</v>
      </c>
      <c r="K2">
        <v>109.124562237779</v>
      </c>
      <c r="L2">
        <v>103.536136141558</v>
      </c>
      <c r="M2">
        <v>115.43659623633</v>
      </c>
      <c r="N2">
        <v>66.446719537939103</v>
      </c>
      <c r="O2" s="20">
        <v>58.444819576820699</v>
      </c>
      <c r="P2" s="20">
        <v>77.813721755185099</v>
      </c>
      <c r="Q2" s="20">
        <v>4.9425543850455798</v>
      </c>
      <c r="R2">
        <v>7.4248657538986702</v>
      </c>
      <c r="S2" s="12">
        <v>187.938701914662</v>
      </c>
      <c r="T2" s="6">
        <v>176.450718532922</v>
      </c>
      <c r="U2" s="6">
        <v>202.731705067928</v>
      </c>
      <c r="V2" s="7">
        <v>1000</v>
      </c>
      <c r="W2" s="21">
        <v>6.5284960665546093E-2</v>
      </c>
      <c r="X2" s="21">
        <v>5.94645472151507</v>
      </c>
      <c r="Y2">
        <v>24.390999999999998</v>
      </c>
      <c r="Z2" s="7">
        <v>1952.04513368984</v>
      </c>
      <c r="AA2">
        <v>21637</v>
      </c>
      <c r="AB2">
        <v>81564</v>
      </c>
      <c r="AC2" s="6">
        <v>1.2</v>
      </c>
      <c r="AD2">
        <v>1279</v>
      </c>
      <c r="AE2">
        <v>1276.96</v>
      </c>
      <c r="AF2">
        <v>627</v>
      </c>
      <c r="AG2">
        <v>299.73599999999999</v>
      </c>
      <c r="AH2">
        <v>706</v>
      </c>
      <c r="AI2" s="4">
        <v>331</v>
      </c>
      <c r="AJ2" s="4">
        <v>184.21100000000001</v>
      </c>
      <c r="AK2" s="4">
        <v>25.374101498407999</v>
      </c>
      <c r="AL2" s="6" t="s">
        <v>32</v>
      </c>
      <c r="AM2" s="11" t="s">
        <v>31</v>
      </c>
      <c r="AN2" s="12">
        <v>20230824</v>
      </c>
      <c r="AO2" s="12" t="s">
        <v>32</v>
      </c>
      <c r="AP2" s="12">
        <v>67970</v>
      </c>
      <c r="AQ2">
        <v>3.76982806433722</v>
      </c>
      <c r="AR2">
        <v>0.51503794724005403</v>
      </c>
      <c r="AS2">
        <v>3.3624232126830501E-2</v>
      </c>
      <c r="AT2" s="12">
        <v>2.0644917265762799E-3</v>
      </c>
      <c r="AU2" s="2">
        <v>0.16501373358774901</v>
      </c>
      <c r="AV2" s="2">
        <v>0.79148807596570603</v>
      </c>
      <c r="AW2" s="2">
        <v>4.3498190446545598E-2</v>
      </c>
      <c r="AX2" s="3">
        <v>9.1950925901907593E-3</v>
      </c>
      <c r="AY2" s="3">
        <v>8.7859340451051302E-3</v>
      </c>
      <c r="AZ2" s="3">
        <v>9.5703160393436799E-3</v>
      </c>
      <c r="BA2" s="3">
        <v>4.42812732812395E-2</v>
      </c>
      <c r="BB2" s="3">
        <v>3.8759722966519403E-2</v>
      </c>
      <c r="BC2" s="3">
        <v>5.0396199809676301E-2</v>
      </c>
      <c r="BD2" s="3">
        <v>2.4263181159563901E-3</v>
      </c>
      <c r="BE2" s="3">
        <v>1.74430467020666E-3</v>
      </c>
      <c r="BF2" s="3">
        <v>3.18264911189872E-3</v>
      </c>
      <c r="BG2" s="3">
        <v>5.5902683987386702E-2</v>
      </c>
      <c r="BH2" s="3">
        <v>5.3039826976669299E-2</v>
      </c>
      <c r="BI2" s="3">
        <v>5.9136233196681598E-2</v>
      </c>
      <c r="BJ2" s="3">
        <v>9.6277846588215199E-2</v>
      </c>
      <c r="BK2" s="3">
        <v>-5.8851013142434804E-3</v>
      </c>
      <c r="BL2" s="3">
        <v>7.5782075413916797E-3</v>
      </c>
      <c r="BM2" s="3">
        <v>9.0392745273971703E-2</v>
      </c>
      <c r="BN2" s="3">
        <v>0.103856054129607</v>
      </c>
      <c r="BO2" s="3">
        <v>3.40395405778035E-2</v>
      </c>
      <c r="BP2" s="3">
        <v>2.9940301362984301E-2</v>
      </c>
      <c r="BQ2" s="3">
        <v>3.9862665269474698E-2</v>
      </c>
      <c r="BR2" s="3">
        <v>2.5319877597824599E-3</v>
      </c>
      <c r="BS2" s="3">
        <v>2.1693303166616302E-3</v>
      </c>
      <c r="BT2" s="3">
        <v>2.9253545854669499E-3</v>
      </c>
      <c r="BU2" s="3">
        <v>3.8036342632426102E-3</v>
      </c>
      <c r="BV2" s="3">
        <v>3.1189800958589401E-3</v>
      </c>
      <c r="BW2" s="3">
        <v>4.4882884306262699E-3</v>
      </c>
      <c r="BX2" s="3">
        <v>4.0375162600828497E-2</v>
      </c>
      <c r="BY2" s="3">
        <v>3.5598850276594901E-2</v>
      </c>
      <c r="BZ2" s="3">
        <v>4.6925172570972298E-2</v>
      </c>
      <c r="CA2">
        <v>1.8817125202295101E-2</v>
      </c>
      <c r="CB2" s="3">
        <v>1.87871119611593E-2</v>
      </c>
      <c r="CC2">
        <v>0.76596465732095198</v>
      </c>
      <c r="CD2">
        <v>18030</v>
      </c>
      <c r="CE2">
        <v>3.4775374376039898E-2</v>
      </c>
      <c r="CF2" s="5">
        <v>1.3852937098488701E-2</v>
      </c>
      <c r="CG2" s="5">
        <v>1.6624292845257901E-2</v>
      </c>
      <c r="CH2" s="13">
        <v>152.88576356017299</v>
      </c>
      <c r="CI2" s="13">
        <v>144.883863599054</v>
      </c>
      <c r="CJ2" s="12">
        <v>164.252765777419</v>
      </c>
      <c r="CK2" s="13">
        <v>157.828317945218</v>
      </c>
      <c r="CL2" s="13">
        <v>149.11849428705901</v>
      </c>
      <c r="CM2">
        <v>169.963189960297</v>
      </c>
      <c r="CN2">
        <v>25.374101498407999</v>
      </c>
      <c r="CO2">
        <v>23.6262669417758</v>
      </c>
      <c r="CP2">
        <v>27.087818479285801</v>
      </c>
      <c r="CQ2">
        <v>152.955609776367</v>
      </c>
      <c r="CR2">
        <v>142.98763018076201</v>
      </c>
      <c r="CS2">
        <v>166.16310148588701</v>
      </c>
      <c r="CT2">
        <v>18.669003374415201</v>
      </c>
      <c r="CU2">
        <v>15.095085505965301</v>
      </c>
      <c r="CV2">
        <v>27.9207949760243</v>
      </c>
      <c r="CW2">
        <v>7.2095898088274302</v>
      </c>
      <c r="CX2">
        <v>6.00124210878261</v>
      </c>
      <c r="CY2">
        <v>8.6169078281878004</v>
      </c>
      <c r="CZ2">
        <v>3.7403707585578498</v>
      </c>
      <c r="DA2">
        <v>2.9425010718359199</v>
      </c>
      <c r="DB2">
        <v>5.0281384361949701</v>
      </c>
      <c r="DC2">
        <v>0</v>
      </c>
      <c r="DD2">
        <v>0</v>
      </c>
      <c r="DE2">
        <v>0</v>
      </c>
      <c r="DF2">
        <v>0.813486154704121</v>
      </c>
      <c r="DG2">
        <v>0.83978516832396699</v>
      </c>
      <c r="DH2">
        <v>0.13501351668866901</v>
      </c>
      <c r="DI2">
        <v>0.41935784455155001</v>
      </c>
      <c r="DJ2">
        <v>0.35355172254203698</v>
      </c>
      <c r="DK2">
        <v>109.124562237779</v>
      </c>
      <c r="DL2">
        <v>4.6567978657676203</v>
      </c>
      <c r="DM2">
        <v>0.108266507692171</v>
      </c>
      <c r="DN2">
        <v>1.24781772796976E-2</v>
      </c>
      <c r="DO2">
        <v>0.9</v>
      </c>
      <c r="DP2">
        <v>17.326203208556102</v>
      </c>
      <c r="DQ2">
        <v>7.8700069846503698E-2</v>
      </c>
      <c r="DR2">
        <v>-6.1124578841752403E-2</v>
      </c>
      <c r="DS2" s="3">
        <v>2.5201314987363901E-2</v>
      </c>
      <c r="DT2" s="3">
        <v>2.6299013619845098E-2</v>
      </c>
      <c r="DU2" s="3">
        <v>1.20047152021005E-2</v>
      </c>
      <c r="DV2" s="3">
        <v>1.16456109975585E-2</v>
      </c>
      <c r="DW2" s="3">
        <v>1.24497698126736E-2</v>
      </c>
      <c r="DX2" s="5">
        <v>7.2701047721023199E-3</v>
      </c>
      <c r="DY2" s="5">
        <v>8.2075578234694704E-3</v>
      </c>
      <c r="DZ2" s="5">
        <v>6.3326517207351702E-3</v>
      </c>
      <c r="EA2">
        <v>86.508890238428407</v>
      </c>
      <c r="EB2">
        <v>80.962232611847199</v>
      </c>
      <c r="EC2">
        <v>92.655731016015693</v>
      </c>
      <c r="ED2">
        <v>66.446719537939103</v>
      </c>
      <c r="EE2">
        <v>66.446719537939103</v>
      </c>
      <c r="EF2">
        <v>66.446719537939103</v>
      </c>
    </row>
    <row r="3" spans="1:136" x14ac:dyDescent="0.2">
      <c r="A3" t="s">
        <v>84</v>
      </c>
      <c r="B3">
        <v>69.887169156693702</v>
      </c>
      <c r="C3">
        <v>68.750616251250094</v>
      </c>
      <c r="D3">
        <v>71.051483794903007</v>
      </c>
      <c r="E3">
        <v>236.25522416224399</v>
      </c>
      <c r="F3">
        <v>226.93673556018601</v>
      </c>
      <c r="G3">
        <v>246.25314460710601</v>
      </c>
      <c r="H3">
        <v>0</v>
      </c>
      <c r="I3">
        <v>0</v>
      </c>
      <c r="J3">
        <v>0</v>
      </c>
      <c r="K3">
        <v>306.14239331893702</v>
      </c>
      <c r="L3">
        <v>296.87295249997499</v>
      </c>
      <c r="M3">
        <v>315.918478286523</v>
      </c>
      <c r="N3">
        <v>212.44676724184299</v>
      </c>
      <c r="O3" s="20">
        <v>199.32947975425901</v>
      </c>
      <c r="P3" s="20">
        <v>227.91639165472401</v>
      </c>
      <c r="Q3" s="20">
        <v>0</v>
      </c>
      <c r="R3">
        <v>38.281726508560197</v>
      </c>
      <c r="S3" s="12">
        <v>556.87088706934003</v>
      </c>
      <c r="T3" s="6">
        <v>534.282711696653</v>
      </c>
      <c r="U3" s="6">
        <v>581.67073697869705</v>
      </c>
      <c r="V3" s="7">
        <v>1000</v>
      </c>
      <c r="W3" s="21">
        <v>3.1547768560248199E-2</v>
      </c>
      <c r="X3" s="21">
        <v>15.0295249</v>
      </c>
      <c r="Y3" s="8">
        <v>60.218000000000004</v>
      </c>
      <c r="Z3" s="7">
        <v>10526.8147291444</v>
      </c>
      <c r="AA3" s="7">
        <v>84570</v>
      </c>
      <c r="AB3" s="7">
        <v>326908</v>
      </c>
      <c r="AC3" s="6">
        <v>1.82507693639206</v>
      </c>
      <c r="AD3">
        <v>1749</v>
      </c>
      <c r="AE3">
        <v>1643.569</v>
      </c>
      <c r="AF3">
        <v>1054</v>
      </c>
      <c r="AG3">
        <v>483.46499999999997</v>
      </c>
      <c r="AH3">
        <v>1272</v>
      </c>
      <c r="AI3" s="4">
        <v>679</v>
      </c>
      <c r="AJ3" s="4">
        <v>374.74599999999998</v>
      </c>
      <c r="AK3" s="4">
        <v>108.168895665254</v>
      </c>
      <c r="AL3" s="6" t="s">
        <v>32</v>
      </c>
      <c r="AM3" s="11" t="s">
        <v>31</v>
      </c>
      <c r="AN3" s="12">
        <v>20230824</v>
      </c>
      <c r="AO3" s="12" t="s">
        <v>32</v>
      </c>
      <c r="AP3" s="12">
        <v>179120</v>
      </c>
      <c r="AQ3">
        <v>3.8655933703088201</v>
      </c>
      <c r="AR3">
        <v>0.50861822288460201</v>
      </c>
      <c r="AS3">
        <v>1.6045769981088202E-2</v>
      </c>
      <c r="AT3" s="12">
        <v>9.9762803746235394E-4</v>
      </c>
      <c r="AU3" s="2">
        <v>0.22850677348512199</v>
      </c>
      <c r="AV3" s="2">
        <v>0.77149322651487795</v>
      </c>
      <c r="AW3" s="2">
        <v>0</v>
      </c>
      <c r="AX3" s="3">
        <v>6.6389663877340901E-3</v>
      </c>
      <c r="AY3" s="3">
        <v>6.4266904534810796E-3</v>
      </c>
      <c r="AZ3" s="3">
        <v>6.8564274284006301E-3</v>
      </c>
      <c r="BA3" s="3">
        <v>2.24431825049747E-2</v>
      </c>
      <c r="BB3" s="3">
        <v>2.0702752416455601E-2</v>
      </c>
      <c r="BC3" s="3">
        <v>2.4310511243351401E-2</v>
      </c>
      <c r="BD3" s="3">
        <v>0</v>
      </c>
      <c r="BE3" s="3">
        <v>0</v>
      </c>
      <c r="BF3" s="3">
        <v>0</v>
      </c>
      <c r="BG3" s="3">
        <v>2.9082148892708801E-2</v>
      </c>
      <c r="BH3" s="3">
        <v>2.8201593752577098E-2</v>
      </c>
      <c r="BI3" s="3">
        <v>3.0010832945684501E-2</v>
      </c>
      <c r="BJ3" s="3">
        <v>5.2900226839520198E-2</v>
      </c>
      <c r="BK3" s="3">
        <v>-2.14577495224171E-3</v>
      </c>
      <c r="BL3" s="3">
        <v>2.35587407468053E-3</v>
      </c>
      <c r="BM3" s="3">
        <v>5.07544518872785E-2</v>
      </c>
      <c r="BN3" s="3">
        <v>5.5256100914200697E-2</v>
      </c>
      <c r="BO3" s="3">
        <v>2.0181486300282801E-2</v>
      </c>
      <c r="BP3" s="3">
        <v>1.8935403052397101E-2</v>
      </c>
      <c r="BQ3" s="3">
        <v>2.1651030964164101E-2</v>
      </c>
      <c r="BR3" s="3">
        <v>0</v>
      </c>
      <c r="BS3" s="3">
        <v>0</v>
      </c>
      <c r="BT3" s="3">
        <v>0</v>
      </c>
      <c r="BU3" s="3">
        <v>3.6365916465285501E-3</v>
      </c>
      <c r="BV3" s="3">
        <v>2.9820051501534099E-3</v>
      </c>
      <c r="BW3" s="3">
        <v>4.2911781429036903E-3</v>
      </c>
      <c r="BX3" s="3">
        <v>2.38180779468114E-2</v>
      </c>
      <c r="BY3" s="3">
        <v>2.19174082025505E-2</v>
      </c>
      <c r="BZ3" s="3">
        <v>2.59422091070678E-2</v>
      </c>
      <c r="CA3">
        <v>9.7644037516748591E-3</v>
      </c>
      <c r="CB3" s="3">
        <v>9.1757983474765499E-3</v>
      </c>
      <c r="CC3">
        <v>0.83093638989594498</v>
      </c>
      <c r="CD3">
        <v>46337</v>
      </c>
      <c r="CE3">
        <v>2.2746401363920799E-2</v>
      </c>
      <c r="CF3" s="5">
        <v>5.7167435260730799E-3</v>
      </c>
      <c r="CG3" s="5">
        <v>1.04336707167059E-2</v>
      </c>
      <c r="CH3" s="13">
        <v>448.70199140408602</v>
      </c>
      <c r="CI3" s="13">
        <v>435.58470391650297</v>
      </c>
      <c r="CJ3" s="12">
        <v>464.17161581696803</v>
      </c>
      <c r="CK3" s="13">
        <v>448.70199140408602</v>
      </c>
      <c r="CL3" s="13">
        <v>435.58470391650297</v>
      </c>
      <c r="CM3">
        <v>464.17161581696803</v>
      </c>
      <c r="CN3">
        <v>108.168895665254</v>
      </c>
      <c r="CO3">
        <v>100.141631988269</v>
      </c>
      <c r="CP3">
        <v>116.223921075004</v>
      </c>
      <c r="CQ3">
        <v>449.26780870933698</v>
      </c>
      <c r="CR3">
        <v>433.62455509032498</v>
      </c>
      <c r="CS3">
        <v>467.27897435193501</v>
      </c>
      <c r="CT3">
        <v>102.33859916343999</v>
      </c>
      <c r="CU3">
        <v>96.637768471989901</v>
      </c>
      <c r="CV3">
        <v>108.855194865531</v>
      </c>
      <c r="CW3">
        <v>80.590539446843195</v>
      </c>
      <c r="CX3">
        <v>74.292013793565005</v>
      </c>
      <c r="CY3">
        <v>88.324986146817594</v>
      </c>
      <c r="CZ3">
        <v>29.517628631559401</v>
      </c>
      <c r="DA3">
        <v>21.442072637952201</v>
      </c>
      <c r="DB3">
        <v>40.664692881206598</v>
      </c>
      <c r="DC3">
        <v>0</v>
      </c>
      <c r="DD3">
        <v>0</v>
      </c>
      <c r="DE3">
        <v>0</v>
      </c>
      <c r="DF3">
        <v>0.80575561449399002</v>
      </c>
      <c r="DG3">
        <v>0.80575561449399002</v>
      </c>
      <c r="DH3">
        <v>0.194244385506011</v>
      </c>
      <c r="DI3">
        <v>0.45024520021720899</v>
      </c>
      <c r="DJ3">
        <v>0.38150077824093198</v>
      </c>
      <c r="DK3">
        <v>306.14239331893702</v>
      </c>
      <c r="DL3">
        <v>3.6399366335599201</v>
      </c>
      <c r="DM3">
        <v>0.227179461966558</v>
      </c>
      <c r="DN3">
        <v>1.14918517480515E-2</v>
      </c>
      <c r="DO3">
        <v>0.9</v>
      </c>
      <c r="DP3">
        <v>17.326203208556102</v>
      </c>
      <c r="DQ3">
        <v>4.4536084209460397E-2</v>
      </c>
      <c r="DR3">
        <v>-4.0563377835159099E-2</v>
      </c>
      <c r="DS3" s="3">
        <v>0</v>
      </c>
      <c r="DT3" s="3">
        <v>0</v>
      </c>
      <c r="DU3" s="3">
        <v>7.9897580516136903E-3</v>
      </c>
      <c r="DV3" s="3">
        <v>7.8212117902229008E-3</v>
      </c>
      <c r="DW3" s="3">
        <v>8.1680502298251394E-3</v>
      </c>
      <c r="DX3" s="5">
        <v>6.5124999847487302E-3</v>
      </c>
      <c r="DY3" s="5">
        <v>7.4087833021432301E-3</v>
      </c>
      <c r="DZ3" s="5">
        <v>5.6162166673542303E-3</v>
      </c>
      <c r="EA3">
        <v>236.82104146749401</v>
      </c>
      <c r="EB3">
        <v>227.475781223426</v>
      </c>
      <c r="EC3">
        <v>246.81428063212999</v>
      </c>
      <c r="ED3">
        <v>212.44676724184299</v>
      </c>
      <c r="EE3">
        <v>212.44676724184299</v>
      </c>
      <c r="EF3">
        <v>212.44676724184299</v>
      </c>
    </row>
    <row r="4" spans="1:136" x14ac:dyDescent="0.2">
      <c r="A4" t="s">
        <v>85</v>
      </c>
      <c r="B4">
        <v>22.418959343908401</v>
      </c>
      <c r="C4">
        <v>21.546607545489501</v>
      </c>
      <c r="D4">
        <v>23.2619212502076</v>
      </c>
      <c r="E4">
        <v>35.058144799114899</v>
      </c>
      <c r="F4">
        <v>31.6937021086285</v>
      </c>
      <c r="G4">
        <v>38.527667747991202</v>
      </c>
      <c r="H4">
        <v>0</v>
      </c>
      <c r="I4">
        <v>0</v>
      </c>
      <c r="J4">
        <v>0</v>
      </c>
      <c r="K4">
        <v>57.477104143023297</v>
      </c>
      <c r="L4">
        <v>54.0724277225302</v>
      </c>
      <c r="M4">
        <v>61.192677200253698</v>
      </c>
      <c r="N4">
        <v>60.228533003385003</v>
      </c>
      <c r="O4" s="20">
        <v>53.5770130047731</v>
      </c>
      <c r="P4" s="20">
        <v>67.267590013802504</v>
      </c>
      <c r="Q4" s="20">
        <v>0</v>
      </c>
      <c r="R4">
        <v>16.3695421682262</v>
      </c>
      <c r="S4" s="12">
        <v>134.075179314634</v>
      </c>
      <c r="T4" s="6">
        <v>123.69839801241601</v>
      </c>
      <c r="U4" s="6">
        <v>144.971533728873</v>
      </c>
      <c r="V4" s="7">
        <v>1000</v>
      </c>
      <c r="W4" s="21">
        <v>5.1132683583550498E-2</v>
      </c>
      <c r="X4" s="21">
        <v>8.0919112099999992</v>
      </c>
      <c r="Y4" s="8">
        <v>82.316000000000003</v>
      </c>
      <c r="Z4" s="7">
        <v>4766.5263912834198</v>
      </c>
      <c r="AA4" s="7">
        <v>17120</v>
      </c>
      <c r="AB4" s="7">
        <v>48890</v>
      </c>
      <c r="AC4" s="6">
        <v>1.82507693639206</v>
      </c>
      <c r="AD4">
        <v>284</v>
      </c>
      <c r="AE4">
        <v>247.41499999999999</v>
      </c>
      <c r="AF4">
        <v>239</v>
      </c>
      <c r="AG4">
        <v>101.235</v>
      </c>
      <c r="AH4">
        <v>316</v>
      </c>
      <c r="AI4" s="4">
        <v>233</v>
      </c>
      <c r="AJ4" s="4">
        <v>121.16800000000001</v>
      </c>
      <c r="AK4" s="4">
        <v>38.788501512134602</v>
      </c>
      <c r="AL4" s="6" t="s">
        <v>32</v>
      </c>
      <c r="AM4" s="11" t="s">
        <v>31</v>
      </c>
      <c r="AN4" s="12">
        <v>20230824</v>
      </c>
      <c r="AO4" s="12" t="s">
        <v>32</v>
      </c>
      <c r="AP4" s="12">
        <v>26787</v>
      </c>
      <c r="AQ4">
        <v>2.85575692963753</v>
      </c>
      <c r="AR4">
        <v>0.59175151754216704</v>
      </c>
      <c r="AS4">
        <v>3.0257843106569499E-2</v>
      </c>
      <c r="AT4" s="12">
        <v>1.6169574300072E-3</v>
      </c>
      <c r="AU4" s="2">
        <v>0.39107141549843499</v>
      </c>
      <c r="AV4" s="2">
        <v>0.60892858450156495</v>
      </c>
      <c r="AW4" s="2">
        <v>0</v>
      </c>
      <c r="AX4" s="3">
        <v>4.70341659807153E-3</v>
      </c>
      <c r="AY4" s="3">
        <v>4.3941377077744599E-3</v>
      </c>
      <c r="AZ4" s="3">
        <v>5.0022757549110196E-3</v>
      </c>
      <c r="BA4" s="3">
        <v>7.3550720002780101E-3</v>
      </c>
      <c r="BB4" s="3">
        <v>6.1622606784378798E-3</v>
      </c>
      <c r="BC4" s="3">
        <v>8.5851379088179806E-3</v>
      </c>
      <c r="BD4" s="3">
        <v>0</v>
      </c>
      <c r="BE4" s="3">
        <v>0</v>
      </c>
      <c r="BF4" s="3">
        <v>0</v>
      </c>
      <c r="BG4" s="3">
        <v>1.2058488598349499E-2</v>
      </c>
      <c r="BH4" s="3">
        <v>1.1344199797448501E-2</v>
      </c>
      <c r="BI4" s="3">
        <v>1.2838002389362E-2</v>
      </c>
      <c r="BJ4" s="3">
        <v>2.8128487772525201E-2</v>
      </c>
      <c r="BK4" s="3">
        <v>-2.1770111923002699E-3</v>
      </c>
      <c r="BL4" s="3">
        <v>2.2860157523022198E-3</v>
      </c>
      <c r="BM4" s="3">
        <v>2.59514765802249E-2</v>
      </c>
      <c r="BN4" s="3">
        <v>3.0414503524827399E-2</v>
      </c>
      <c r="BO4" s="3">
        <v>1.2635728423433299E-2</v>
      </c>
      <c r="BP4" s="3">
        <v>1.12402635812003E-2</v>
      </c>
      <c r="BQ4" s="3">
        <v>1.41124971293173E-2</v>
      </c>
      <c r="BR4" s="3">
        <v>0</v>
      </c>
      <c r="BS4" s="3">
        <v>0</v>
      </c>
      <c r="BT4" s="3">
        <v>0</v>
      </c>
      <c r="BU4" s="3">
        <v>3.4342707507423499E-3</v>
      </c>
      <c r="BV4" s="3">
        <v>2.81610201560873E-3</v>
      </c>
      <c r="BW4" s="3">
        <v>4.0524394858759798E-3</v>
      </c>
      <c r="BX4" s="3">
        <v>1.60699991741757E-2</v>
      </c>
      <c r="BY4" s="3">
        <v>1.4056365596808999E-2</v>
      </c>
      <c r="BZ4" s="3">
        <v>1.8164936615193299E-2</v>
      </c>
      <c r="CA4">
        <v>1.0602157763094E-2</v>
      </c>
      <c r="CB4" s="3">
        <v>9.2363833202672892E-3</v>
      </c>
      <c r="CC4">
        <v>0.82905760134607198</v>
      </c>
      <c r="CD4">
        <v>9380</v>
      </c>
      <c r="CE4">
        <v>2.5479744136460598E-2</v>
      </c>
      <c r="CF4" s="5">
        <v>5.9132593457943902E-3</v>
      </c>
      <c r="CG4" s="5">
        <v>1.07926439232409E-2</v>
      </c>
      <c r="CH4" s="13">
        <v>95.286677802499895</v>
      </c>
      <c r="CI4" s="13">
        <v>88.635157803887907</v>
      </c>
      <c r="CJ4" s="12">
        <v>102.32573481291701</v>
      </c>
      <c r="CK4" s="13">
        <v>95.286677802499895</v>
      </c>
      <c r="CL4" s="13">
        <v>88.635157803887907</v>
      </c>
      <c r="CM4">
        <v>102.32573481291701</v>
      </c>
      <c r="CN4">
        <v>38.788501512134602</v>
      </c>
      <c r="CO4">
        <v>34.969632123434899</v>
      </c>
      <c r="CP4">
        <v>42.577981008714403</v>
      </c>
      <c r="CQ4">
        <v>95.801608165797404</v>
      </c>
      <c r="CR4">
        <v>88.285477071208106</v>
      </c>
      <c r="CS4">
        <v>103.679044651297</v>
      </c>
      <c r="CT4">
        <v>17.6442075950891</v>
      </c>
      <c r="CU4">
        <v>13.399357643578</v>
      </c>
      <c r="CV4">
        <v>22.7044273429076</v>
      </c>
      <c r="CW4">
        <v>33.4329687312622</v>
      </c>
      <c r="CX4">
        <v>29.605059661554499</v>
      </c>
      <c r="CY4">
        <v>37.754447292619503</v>
      </c>
      <c r="CZ4">
        <v>9.0626260350338192</v>
      </c>
      <c r="DA4">
        <v>6.3771159501461598</v>
      </c>
      <c r="DB4">
        <v>11.713378792864701</v>
      </c>
      <c r="DC4">
        <v>8.8730641999913706E-2</v>
      </c>
      <c r="DD4">
        <v>3.6224149943974E-2</v>
      </c>
      <c r="DE4">
        <v>0.3093966829798</v>
      </c>
      <c r="DF4">
        <v>0.71069519171915096</v>
      </c>
      <c r="DG4">
        <v>0.71069519171915096</v>
      </c>
      <c r="DH4">
        <v>0.28930480828084998</v>
      </c>
      <c r="DI4">
        <v>0.571305976755351</v>
      </c>
      <c r="DJ4">
        <v>0.44921345283393499</v>
      </c>
      <c r="DK4">
        <v>57.477104143023297</v>
      </c>
      <c r="DL4">
        <v>2.12552972581565</v>
      </c>
      <c r="DM4">
        <v>0.50815846388949104</v>
      </c>
      <c r="DN4">
        <v>1.06611193281389E-2</v>
      </c>
      <c r="DO4">
        <v>0.9</v>
      </c>
      <c r="DP4">
        <v>17.326203208556102</v>
      </c>
      <c r="DQ4">
        <v>8.1270991678875901E-2</v>
      </c>
      <c r="DR4">
        <v>-7.7391202673293094E-2</v>
      </c>
      <c r="DS4" s="3">
        <v>0</v>
      </c>
      <c r="DT4" s="3">
        <v>0</v>
      </c>
      <c r="DU4" s="3">
        <v>5.6732948646894803E-3</v>
      </c>
      <c r="DV4" s="3">
        <v>5.4105065166178603E-3</v>
      </c>
      <c r="DW4" s="3">
        <v>6.0023971953388801E-3</v>
      </c>
      <c r="DX4" s="5">
        <v>5.9587925946185498E-3</v>
      </c>
      <c r="DY4" s="5">
        <v>6.80521140665222E-3</v>
      </c>
      <c r="DZ4" s="5">
        <v>5.1123737825848796E-3</v>
      </c>
      <c r="EA4">
        <v>35.573075162412401</v>
      </c>
      <c r="EB4">
        <v>32.2022967876254</v>
      </c>
      <c r="EC4">
        <v>39.0536270749054</v>
      </c>
      <c r="ED4">
        <v>60.228533003385003</v>
      </c>
      <c r="EE4">
        <v>60.228533003385003</v>
      </c>
      <c r="EF4">
        <v>60.228533003385003</v>
      </c>
    </row>
    <row r="5" spans="1:136" x14ac:dyDescent="0.2">
      <c r="A5" t="s">
        <v>87</v>
      </c>
      <c r="B5">
        <v>28.035491595021899</v>
      </c>
      <c r="C5">
        <v>27.286162339610399</v>
      </c>
      <c r="D5">
        <v>28.839747943892998</v>
      </c>
      <c r="E5">
        <v>37.0078114353052</v>
      </c>
      <c r="F5">
        <v>33.857499693477202</v>
      </c>
      <c r="G5">
        <v>40.558534179693098</v>
      </c>
      <c r="H5">
        <v>0</v>
      </c>
      <c r="I5">
        <v>0</v>
      </c>
      <c r="J5">
        <v>0</v>
      </c>
      <c r="K5">
        <v>65.043303030327095</v>
      </c>
      <c r="L5">
        <v>61.866058974433599</v>
      </c>
      <c r="M5">
        <v>68.665581590581496</v>
      </c>
      <c r="N5">
        <v>44.998112457369203</v>
      </c>
      <c r="O5" s="20">
        <v>41.446603787192601</v>
      </c>
      <c r="P5" s="20">
        <v>49.119480735111097</v>
      </c>
      <c r="Q5" s="20">
        <v>0</v>
      </c>
      <c r="R5">
        <v>20.4353866558872</v>
      </c>
      <c r="S5" s="12">
        <v>130.476802143584</v>
      </c>
      <c r="T5" s="6">
        <v>121.930497101445</v>
      </c>
      <c r="U5" s="6">
        <v>139.44976369318701</v>
      </c>
      <c r="V5" s="7">
        <v>1000</v>
      </c>
      <c r="W5" s="21">
        <v>4.6159285311028399E-2</v>
      </c>
      <c r="X5" s="21">
        <v>11.8134085</v>
      </c>
      <c r="Y5" s="8">
        <v>68.239000000000004</v>
      </c>
      <c r="Z5" s="7">
        <v>5950.4296949999998</v>
      </c>
      <c r="AA5" s="7">
        <v>19040</v>
      </c>
      <c r="AB5" s="7">
        <v>91907</v>
      </c>
      <c r="AC5" s="6">
        <v>1.82507693639206</v>
      </c>
      <c r="AD5">
        <v>416</v>
      </c>
      <c r="AE5">
        <v>360.45499999999998</v>
      </c>
      <c r="AF5">
        <v>296</v>
      </c>
      <c r="AG5">
        <v>124.633</v>
      </c>
      <c r="AH5">
        <v>477</v>
      </c>
      <c r="AI5" s="4">
        <v>232</v>
      </c>
      <c r="AJ5" s="4">
        <v>125.111</v>
      </c>
      <c r="AK5" s="4">
        <v>48.470878250909102</v>
      </c>
      <c r="AL5" s="6" t="s">
        <v>32</v>
      </c>
      <c r="AM5" s="11" t="s">
        <v>31</v>
      </c>
      <c r="AN5" s="12">
        <v>20230824</v>
      </c>
      <c r="AO5" s="12" t="s">
        <v>32</v>
      </c>
      <c r="AP5" s="12">
        <v>50357</v>
      </c>
      <c r="AQ5">
        <v>4.82716641104295</v>
      </c>
      <c r="AR5">
        <v>0.45514928471695798</v>
      </c>
      <c r="AS5">
        <v>2.1009365692360601E-2</v>
      </c>
      <c r="AT5" s="12">
        <v>1.45968476748404E-3</v>
      </c>
      <c r="AU5" s="2">
        <v>0.43242073881951099</v>
      </c>
      <c r="AV5" s="2">
        <v>0.56757926118048896</v>
      </c>
      <c r="AW5" s="2">
        <v>0</v>
      </c>
      <c r="AX5" s="3">
        <v>4.7115070729395201E-3</v>
      </c>
      <c r="AY5" s="3">
        <v>4.43483170521582E-3</v>
      </c>
      <c r="AZ5" s="3">
        <v>5.0084632099928602E-3</v>
      </c>
      <c r="BA5" s="3">
        <v>6.2193510943255002E-3</v>
      </c>
      <c r="BB5" s="3">
        <v>5.0561592753487899E-3</v>
      </c>
      <c r="BC5" s="3">
        <v>7.5303869492501204E-3</v>
      </c>
      <c r="BD5" s="3">
        <v>0</v>
      </c>
      <c r="BE5" s="3">
        <v>0</v>
      </c>
      <c r="BF5" s="3">
        <v>0</v>
      </c>
      <c r="BG5" s="3">
        <v>1.0930858167265E-2</v>
      </c>
      <c r="BH5" s="3">
        <v>1.03969061303956E-2</v>
      </c>
      <c r="BI5" s="3">
        <v>1.1539600517972599E-2</v>
      </c>
      <c r="BJ5" s="3">
        <v>2.19272907725E-2</v>
      </c>
      <c r="BK5" s="3">
        <v>-1.4362500659944001E-3</v>
      </c>
      <c r="BL5" s="3">
        <v>1.5079518639036899E-3</v>
      </c>
      <c r="BM5" s="3">
        <v>2.0491040706505599E-2</v>
      </c>
      <c r="BN5" s="3">
        <v>2.3435242636403699E-2</v>
      </c>
      <c r="BO5" s="3">
        <v>7.5621618544926298E-3</v>
      </c>
      <c r="BP5" s="3">
        <v>6.9653127440559796E-3</v>
      </c>
      <c r="BQ5" s="3">
        <v>8.2547787727640792E-3</v>
      </c>
      <c r="BR5" s="3">
        <v>0</v>
      </c>
      <c r="BS5" s="3">
        <v>0</v>
      </c>
      <c r="BT5" s="3">
        <v>0</v>
      </c>
      <c r="BU5" s="3">
        <v>3.4342707507423499E-3</v>
      </c>
      <c r="BV5" s="3">
        <v>2.81610201560873E-3</v>
      </c>
      <c r="BW5" s="3">
        <v>4.0524394858759798E-3</v>
      </c>
      <c r="BX5" s="3">
        <v>1.0996432605235E-2</v>
      </c>
      <c r="BY5" s="3">
        <v>9.78141475966471E-3</v>
      </c>
      <c r="BZ5" s="3">
        <v>1.2307218258640101E-2</v>
      </c>
      <c r="CA5">
        <v>8.2610163433087802E-3</v>
      </c>
      <c r="CB5" s="3">
        <v>7.1579919375657801E-3</v>
      </c>
      <c r="CC5">
        <v>0.80220578497046402</v>
      </c>
      <c r="CD5">
        <v>10432</v>
      </c>
      <c r="CE5">
        <v>2.83742331288344E-2</v>
      </c>
      <c r="CF5" s="5">
        <v>6.5458508403361398E-3</v>
      </c>
      <c r="CG5" s="5">
        <v>1.1947181748466301E-2</v>
      </c>
      <c r="CH5" s="13">
        <v>82.005923892674403</v>
      </c>
      <c r="CI5" s="13">
        <v>78.454415222497801</v>
      </c>
      <c r="CJ5" s="12">
        <v>86.127292170416297</v>
      </c>
      <c r="CK5" s="13">
        <v>82.005923892674403</v>
      </c>
      <c r="CL5" s="13">
        <v>78.454415222497801</v>
      </c>
      <c r="CM5">
        <v>86.127292170416297</v>
      </c>
      <c r="CN5">
        <v>48.470878250909102</v>
      </c>
      <c r="CO5">
        <v>44.043179397437903</v>
      </c>
      <c r="CP5">
        <v>52.953504197839997</v>
      </c>
      <c r="CQ5">
        <v>82.622907876754198</v>
      </c>
      <c r="CR5">
        <v>77.793161408168103</v>
      </c>
      <c r="CS5">
        <v>87.911525490474105</v>
      </c>
      <c r="CT5">
        <v>12.870077744218699</v>
      </c>
      <c r="CU5">
        <v>11.356976923155401</v>
      </c>
      <c r="CV5">
        <v>14.653754252454201</v>
      </c>
      <c r="CW5">
        <v>25.134452939507</v>
      </c>
      <c r="CX5">
        <v>22.258573456299601</v>
      </c>
      <c r="CY5">
        <v>28.558757613649298</v>
      </c>
      <c r="CZ5">
        <v>6.9935817736434496</v>
      </c>
      <c r="DA5">
        <v>5.4335233140977399</v>
      </c>
      <c r="DB5">
        <v>8.8362515397957306</v>
      </c>
      <c r="DC5">
        <v>0</v>
      </c>
      <c r="DD5">
        <v>0</v>
      </c>
      <c r="DE5">
        <v>0</v>
      </c>
      <c r="DF5">
        <v>0.62850881696658301</v>
      </c>
      <c r="DG5">
        <v>0.62850881696658301</v>
      </c>
      <c r="DH5">
        <v>0.37149118303341699</v>
      </c>
      <c r="DI5">
        <v>0.50149494972084696</v>
      </c>
      <c r="DJ5">
        <v>0.34487359755448099</v>
      </c>
      <c r="DK5">
        <v>65.043303030327095</v>
      </c>
      <c r="DL5">
        <v>1.8611524068587899</v>
      </c>
      <c r="DM5">
        <v>0.57040161953604296</v>
      </c>
      <c r="DN5">
        <v>1.06611193281389E-2</v>
      </c>
      <c r="DO5">
        <v>0.9</v>
      </c>
      <c r="DP5">
        <v>17.326203208556102</v>
      </c>
      <c r="DQ5">
        <v>6.8766579009435003E-2</v>
      </c>
      <c r="DR5">
        <v>-6.5499203510895193E-2</v>
      </c>
      <c r="DS5" s="3">
        <v>0</v>
      </c>
      <c r="DT5" s="3">
        <v>0</v>
      </c>
      <c r="DU5" s="3">
        <v>5.8732674415465404E-3</v>
      </c>
      <c r="DV5" s="3">
        <v>5.6955694870168602E-3</v>
      </c>
      <c r="DW5" s="3">
        <v>6.0878971123269196E-3</v>
      </c>
      <c r="DX5" s="5">
        <v>5.9587925946185498E-3</v>
      </c>
      <c r="DY5" s="5">
        <v>6.80521140665222E-3</v>
      </c>
      <c r="DZ5" s="5">
        <v>5.1123737825848796E-3</v>
      </c>
      <c r="EA5">
        <v>37.624795419385002</v>
      </c>
      <c r="EB5">
        <v>34.434464527339699</v>
      </c>
      <c r="EC5">
        <v>41.163140404649099</v>
      </c>
      <c r="ED5">
        <v>44.998112457369203</v>
      </c>
      <c r="EE5">
        <v>44.998112457369203</v>
      </c>
      <c r="EF5">
        <v>44.998112457369203</v>
      </c>
    </row>
    <row r="6" spans="1:136" x14ac:dyDescent="0.2">
      <c r="A6" t="s">
        <v>86</v>
      </c>
      <c r="B6">
        <v>30.408611806697699</v>
      </c>
      <c r="C6">
        <v>29.575522571343299</v>
      </c>
      <c r="D6">
        <v>31.1719230455722</v>
      </c>
      <c r="E6">
        <v>35.2767295425272</v>
      </c>
      <c r="F6">
        <v>31.7246651181676</v>
      </c>
      <c r="G6">
        <v>39.475900122712702</v>
      </c>
      <c r="H6">
        <v>0</v>
      </c>
      <c r="I6">
        <v>0</v>
      </c>
      <c r="J6">
        <v>0</v>
      </c>
      <c r="K6">
        <v>65.685341349224899</v>
      </c>
      <c r="L6">
        <v>62.017390934562201</v>
      </c>
      <c r="M6">
        <v>69.946107011995196</v>
      </c>
      <c r="N6">
        <v>43.978514548134299</v>
      </c>
      <c r="O6" s="20">
        <v>39.275177563933397</v>
      </c>
      <c r="P6" s="20">
        <v>49.315793850225397</v>
      </c>
      <c r="Q6" s="20">
        <v>0</v>
      </c>
      <c r="R6">
        <v>21.388091567027899</v>
      </c>
      <c r="S6" s="12">
        <v>131.05194746438701</v>
      </c>
      <c r="T6" s="6">
        <v>121.04007160074499</v>
      </c>
      <c r="U6" s="6">
        <v>141.59380190467499</v>
      </c>
      <c r="V6" s="7">
        <v>1000</v>
      </c>
      <c r="W6" s="21">
        <v>5.7633536388878699E-2</v>
      </c>
      <c r="X6" s="21">
        <v>23.348039</v>
      </c>
      <c r="Y6" s="8">
        <v>78.149000000000001</v>
      </c>
      <c r="Z6" s="7">
        <v>6227.8408195989296</v>
      </c>
      <c r="AA6" s="7">
        <v>19670</v>
      </c>
      <c r="AB6" s="7">
        <v>94306</v>
      </c>
      <c r="AC6" s="6">
        <v>1.82507693639206</v>
      </c>
      <c r="AD6">
        <v>334</v>
      </c>
      <c r="AE6">
        <v>274.88900000000001</v>
      </c>
      <c r="AF6">
        <v>232</v>
      </c>
      <c r="AG6">
        <v>92.781000000000006</v>
      </c>
      <c r="AH6">
        <v>368</v>
      </c>
      <c r="AI6" s="4">
        <v>179</v>
      </c>
      <c r="AJ6" s="4">
        <v>91.039000000000001</v>
      </c>
      <c r="AK6" s="4">
        <v>51.796703373725599</v>
      </c>
      <c r="AL6" s="6" t="s">
        <v>32</v>
      </c>
      <c r="AM6" s="11" t="s">
        <v>31</v>
      </c>
      <c r="AN6" s="12">
        <v>20230824</v>
      </c>
      <c r="AO6" s="12" t="s">
        <v>32</v>
      </c>
      <c r="AP6" s="12">
        <v>51672</v>
      </c>
      <c r="AQ6">
        <v>4.7946552844019701</v>
      </c>
      <c r="AR6">
        <v>0.45668979343236699</v>
      </c>
      <c r="AS6">
        <v>2.6320647828213799E-2</v>
      </c>
      <c r="AT6" s="12">
        <v>1.8225324459905201E-3</v>
      </c>
      <c r="AU6" s="2">
        <v>0.46495622273121601</v>
      </c>
      <c r="AV6" s="2">
        <v>0.53504377726878405</v>
      </c>
      <c r="AW6" s="2">
        <v>0</v>
      </c>
      <c r="AX6" s="3">
        <v>4.8826893120007498E-3</v>
      </c>
      <c r="AY6" s="3">
        <v>4.58978031379444E-3</v>
      </c>
      <c r="AZ6" s="3">
        <v>5.15106480025592E-3</v>
      </c>
      <c r="BA6" s="3">
        <v>5.6643595371788803E-3</v>
      </c>
      <c r="BB6" s="3">
        <v>4.4154757586472001E-3</v>
      </c>
      <c r="BC6" s="3">
        <v>7.1407618188820904E-3</v>
      </c>
      <c r="BD6" s="3">
        <v>0</v>
      </c>
      <c r="BE6" s="3">
        <v>0</v>
      </c>
      <c r="BF6" s="3">
        <v>0</v>
      </c>
      <c r="BG6" s="3">
        <v>1.05470488491796E-2</v>
      </c>
      <c r="BH6" s="3">
        <v>9.9580886427595092E-3</v>
      </c>
      <c r="BI6" s="3">
        <v>1.1231196981123201E-2</v>
      </c>
      <c r="BJ6" s="3">
        <v>2.10429186070345E-2</v>
      </c>
      <c r="BK6" s="3">
        <v>-1.6075998333377999E-3</v>
      </c>
      <c r="BL6" s="3">
        <v>1.69269811892309E-3</v>
      </c>
      <c r="BM6" s="3">
        <v>1.94353187736967E-2</v>
      </c>
      <c r="BN6" s="3">
        <v>2.2735616725957499E-2</v>
      </c>
      <c r="BO6" s="3">
        <v>7.0615990071124599E-3</v>
      </c>
      <c r="BP6" s="3">
        <v>6.3063875107942698E-3</v>
      </c>
      <c r="BQ6" s="3">
        <v>7.9186021734899293E-3</v>
      </c>
      <c r="BR6" s="3">
        <v>0</v>
      </c>
      <c r="BS6" s="3">
        <v>0</v>
      </c>
      <c r="BT6" s="3">
        <v>0</v>
      </c>
      <c r="BU6" s="3">
        <v>3.4342707507423499E-3</v>
      </c>
      <c r="BV6" s="3">
        <v>2.81610201560873E-3</v>
      </c>
      <c r="BW6" s="3">
        <v>4.0524394858759798E-3</v>
      </c>
      <c r="BX6" s="3">
        <v>1.0495869757854799E-2</v>
      </c>
      <c r="BY6" s="3">
        <v>9.1224895264030003E-3</v>
      </c>
      <c r="BZ6" s="3">
        <v>1.19710416593659E-2</v>
      </c>
      <c r="CA6">
        <v>6.4638488930174997E-3</v>
      </c>
      <c r="CB6" s="3">
        <v>5.3198831088403804E-3</v>
      </c>
      <c r="CC6">
        <v>0.82718382658783596</v>
      </c>
      <c r="CD6">
        <v>10777</v>
      </c>
      <c r="CE6">
        <v>2.1527326714299001E-2</v>
      </c>
      <c r="CF6" s="5">
        <v>4.71687849517031E-3</v>
      </c>
      <c r="CG6" s="5">
        <v>8.6091676718938505E-3</v>
      </c>
      <c r="CH6" s="13">
        <v>79.255244090661407</v>
      </c>
      <c r="CI6" s="13">
        <v>74.551907106460604</v>
      </c>
      <c r="CJ6" s="12">
        <v>84.592523392752497</v>
      </c>
      <c r="CK6" s="13">
        <v>79.255244090661407</v>
      </c>
      <c r="CL6" s="13">
        <v>74.551907106460604</v>
      </c>
      <c r="CM6">
        <v>84.592523392752497</v>
      </c>
      <c r="CN6">
        <v>51.796703373725599</v>
      </c>
      <c r="CO6">
        <v>47.113757656306198</v>
      </c>
      <c r="CP6">
        <v>56.4098710946651</v>
      </c>
      <c r="CQ6">
        <v>79.866955269763395</v>
      </c>
      <c r="CR6">
        <v>73.806452663252998</v>
      </c>
      <c r="CS6">
        <v>86.531420798670396</v>
      </c>
      <c r="CT6">
        <v>6.8343134040104498</v>
      </c>
      <c r="CU6">
        <v>6.0176533755745298</v>
      </c>
      <c r="CV6">
        <v>7.7567594941847604</v>
      </c>
      <c r="CW6">
        <v>27.326470328888899</v>
      </c>
      <c r="CX6">
        <v>23.514044548270199</v>
      </c>
      <c r="CY6">
        <v>31.695011966333301</v>
      </c>
      <c r="CZ6">
        <v>9.8177308152348903</v>
      </c>
      <c r="DA6">
        <v>7.29133214936153</v>
      </c>
      <c r="DB6">
        <v>12.7619471366359</v>
      </c>
      <c r="DC6">
        <v>0</v>
      </c>
      <c r="DD6">
        <v>0</v>
      </c>
      <c r="DE6">
        <v>0</v>
      </c>
      <c r="DF6">
        <v>0.60476044341234203</v>
      </c>
      <c r="DG6">
        <v>0.60476044341234203</v>
      </c>
      <c r="DH6">
        <v>0.39523955658765803</v>
      </c>
      <c r="DI6">
        <v>0.498781961032981</v>
      </c>
      <c r="DJ6">
        <v>0.33557752724058099</v>
      </c>
      <c r="DK6">
        <v>65.685341349224899</v>
      </c>
      <c r="DL6">
        <v>1.78679444684758</v>
      </c>
      <c r="DM6">
        <v>0.57788260365583499</v>
      </c>
      <c r="DN6">
        <v>1.06611193281389E-2</v>
      </c>
      <c r="DO6">
        <v>0.9</v>
      </c>
      <c r="DP6">
        <v>17.326203208556102</v>
      </c>
      <c r="DQ6">
        <v>8.0440910584881203E-2</v>
      </c>
      <c r="DR6">
        <v>-7.6405496459204303E-2</v>
      </c>
      <c r="DS6" s="3">
        <v>0</v>
      </c>
      <c r="DT6" s="3">
        <v>0</v>
      </c>
      <c r="DU6" s="3">
        <v>5.9028177067952901E-3</v>
      </c>
      <c r="DV6" s="3">
        <v>5.7221947613303199E-3</v>
      </c>
      <c r="DW6" s="3">
        <v>6.1122776011157598E-3</v>
      </c>
      <c r="DX6" s="5">
        <v>5.9587925946185498E-3</v>
      </c>
      <c r="DY6" s="5">
        <v>6.80521140665222E-3</v>
      </c>
      <c r="DZ6" s="5">
        <v>5.1123737825848796E-3</v>
      </c>
      <c r="EA6">
        <v>35.888440721629102</v>
      </c>
      <c r="EB6">
        <v>32.379509896686699</v>
      </c>
      <c r="EC6">
        <v>40.063603530867397</v>
      </c>
      <c r="ED6">
        <v>43.978514548134299</v>
      </c>
      <c r="EE6">
        <v>43.978514548134299</v>
      </c>
      <c r="EF6">
        <v>43.978514548134299</v>
      </c>
    </row>
    <row r="7" spans="1:136" x14ac:dyDescent="0.2">
      <c r="A7" t="s">
        <v>88</v>
      </c>
      <c r="B7">
        <v>2.5884227733103802</v>
      </c>
      <c r="C7">
        <v>2.4758083095916898</v>
      </c>
      <c r="D7">
        <v>2.7082191304777399</v>
      </c>
      <c r="E7">
        <v>2.394374791238</v>
      </c>
      <c r="F7">
        <v>1.6400096812323</v>
      </c>
      <c r="G7">
        <v>3.26282292537952</v>
      </c>
      <c r="H7">
        <v>0</v>
      </c>
      <c r="I7">
        <v>0</v>
      </c>
      <c r="J7">
        <v>0</v>
      </c>
      <c r="K7">
        <v>4.9827975645483802</v>
      </c>
      <c r="L7">
        <v>4.2218360934985997</v>
      </c>
      <c r="M7">
        <v>5.86145172436491</v>
      </c>
      <c r="N7">
        <v>4.7765103895676999</v>
      </c>
      <c r="O7" s="20">
        <v>3.6840538163935999</v>
      </c>
      <c r="P7" s="20">
        <v>6.2638667993299997</v>
      </c>
      <c r="Q7" s="20">
        <v>0</v>
      </c>
      <c r="R7">
        <v>1.1897865990230101</v>
      </c>
      <c r="S7" s="12">
        <v>10.9490945531391</v>
      </c>
      <c r="T7" s="6">
        <v>9.3371675524513709</v>
      </c>
      <c r="U7" s="6">
        <v>12.8737063064777</v>
      </c>
      <c r="V7" s="7">
        <v>1000</v>
      </c>
      <c r="W7" s="21">
        <v>0.10407867854566601</v>
      </c>
      <c r="X7" s="21">
        <v>9</v>
      </c>
      <c r="Y7" s="8">
        <v>40.481000000000002</v>
      </c>
      <c r="Z7" s="7">
        <v>264.97395591978602</v>
      </c>
      <c r="AA7" s="7">
        <v>41547</v>
      </c>
      <c r="AB7" s="7">
        <v>81234</v>
      </c>
      <c r="AC7" s="6">
        <v>1.7471737405793999</v>
      </c>
      <c r="AD7">
        <v>77</v>
      </c>
      <c r="AE7">
        <v>69.063000000000002</v>
      </c>
      <c r="AF7">
        <v>40</v>
      </c>
      <c r="AG7">
        <v>15.063000000000001</v>
      </c>
      <c r="AH7">
        <v>48</v>
      </c>
      <c r="AI7" s="4">
        <v>36</v>
      </c>
      <c r="AJ7" s="4">
        <v>18.145</v>
      </c>
      <c r="AK7" s="4">
        <v>3.7782093723333898</v>
      </c>
      <c r="AL7" s="6" t="s">
        <v>32</v>
      </c>
      <c r="AM7" s="11" t="s">
        <v>31</v>
      </c>
      <c r="AN7" s="12">
        <v>20230824</v>
      </c>
      <c r="AO7" s="12" t="s">
        <v>32</v>
      </c>
      <c r="AP7" s="12">
        <v>46494</v>
      </c>
      <c r="AQ7">
        <v>1.9552546364439201</v>
      </c>
      <c r="AR7">
        <v>0.71515196751850496</v>
      </c>
      <c r="AS7">
        <v>7.4432071738659206E-2</v>
      </c>
      <c r="AT7" s="12">
        <v>3.2912568006480598E-3</v>
      </c>
      <c r="AU7" s="2">
        <v>0.52705445624289404</v>
      </c>
      <c r="AV7" s="2">
        <v>0.47294554375710601</v>
      </c>
      <c r="AW7" s="2">
        <v>0</v>
      </c>
      <c r="AX7" s="3">
        <v>9.76859315975173E-3</v>
      </c>
      <c r="AY7" s="3">
        <v>9.1743110648174701E-3</v>
      </c>
      <c r="AZ7" s="3">
        <v>1.0400775099371399E-2</v>
      </c>
      <c r="BA7" s="3">
        <v>9.0362646507146996E-3</v>
      </c>
      <c r="BB7" s="3">
        <v>5.0553756679337898E-3</v>
      </c>
      <c r="BC7" s="3">
        <v>1.3619185524791799E-2</v>
      </c>
      <c r="BD7" s="3">
        <v>0</v>
      </c>
      <c r="BE7" s="3">
        <v>0</v>
      </c>
      <c r="BF7" s="3">
        <v>0</v>
      </c>
      <c r="BG7" s="3">
        <v>1.88048578104664E-2</v>
      </c>
      <c r="BH7" s="3">
        <v>1.5933022846881799E-2</v>
      </c>
      <c r="BI7" s="3">
        <v>2.2120859780420499E-2</v>
      </c>
      <c r="BJ7" s="3">
        <v>4.1321398984787899E-2</v>
      </c>
      <c r="BK7" s="3">
        <v>-6.0833412668514896E-3</v>
      </c>
      <c r="BL7" s="3">
        <v>7.2633997052949303E-3</v>
      </c>
      <c r="BM7" s="3">
        <v>3.5238057717936401E-2</v>
      </c>
      <c r="BN7" s="3">
        <v>4.8584798690082899E-2</v>
      </c>
      <c r="BO7" s="3">
        <v>1.8026339128263898E-2</v>
      </c>
      <c r="BP7" s="3">
        <v>1.3903456298583699E-2</v>
      </c>
      <c r="BQ7" s="3">
        <v>2.3639556489945101E-2</v>
      </c>
      <c r="BR7" s="3">
        <v>0</v>
      </c>
      <c r="BS7" s="3">
        <v>0</v>
      </c>
      <c r="BT7" s="3">
        <v>0</v>
      </c>
      <c r="BU7" s="3">
        <v>4.4902020460576304E-3</v>
      </c>
      <c r="BV7" s="3">
        <v>3.68196567776725E-3</v>
      </c>
      <c r="BW7" s="3">
        <v>5.2984384143480003E-3</v>
      </c>
      <c r="BX7" s="3">
        <v>2.2516541174321499E-2</v>
      </c>
      <c r="BY7" s="3">
        <v>1.7585421976351E-2</v>
      </c>
      <c r="BZ7" s="3">
        <v>2.89379949042931E-2</v>
      </c>
      <c r="CA7">
        <v>1.6561276723878399E-3</v>
      </c>
      <c r="CB7" s="3">
        <v>1.4854174732223499E-3</v>
      </c>
      <c r="CC7">
        <v>0.988653343011484</v>
      </c>
      <c r="CD7">
        <v>23779</v>
      </c>
      <c r="CE7">
        <v>1.6821565246646201E-3</v>
      </c>
      <c r="CF7" s="5">
        <v>3.62553252942451E-4</v>
      </c>
      <c r="CG7" s="5">
        <v>6.3345809327557904E-4</v>
      </c>
      <c r="CH7" s="13">
        <v>7.1708851808057004</v>
      </c>
      <c r="CI7" s="13">
        <v>6.0784286076315999</v>
      </c>
      <c r="CJ7" s="12">
        <v>8.6582415905680001</v>
      </c>
      <c r="CK7" s="13">
        <v>7.1708851808057004</v>
      </c>
      <c r="CL7" s="13">
        <v>6.0784286076315999</v>
      </c>
      <c r="CM7">
        <v>8.6582415905680001</v>
      </c>
      <c r="CN7">
        <v>3.7782093723333898</v>
      </c>
      <c r="CO7">
        <v>3.4514333207905601</v>
      </c>
      <c r="CP7">
        <v>4.1121673173248903</v>
      </c>
      <c r="CQ7">
        <v>7.1875083473260304</v>
      </c>
      <c r="CR7">
        <v>5.7940558867514298</v>
      </c>
      <c r="CS7">
        <v>8.9156943973365408</v>
      </c>
      <c r="CT7">
        <v>1.8771847819630501</v>
      </c>
      <c r="CU7">
        <v>1.3034700529305101</v>
      </c>
      <c r="CV7">
        <v>2.5236448153859499</v>
      </c>
      <c r="CW7">
        <v>0</v>
      </c>
      <c r="CX7">
        <v>0</v>
      </c>
      <c r="CY7">
        <v>0</v>
      </c>
      <c r="CZ7">
        <v>0.76623665711973099</v>
      </c>
      <c r="DA7">
        <v>0.51978097073976404</v>
      </c>
      <c r="DB7">
        <v>1.06063346417659</v>
      </c>
      <c r="DC7">
        <v>1.8184147568032101</v>
      </c>
      <c r="DD7">
        <v>1.01719880868019</v>
      </c>
      <c r="DE7">
        <v>3.1070130527669901</v>
      </c>
      <c r="DF7">
        <v>0.65492840578882106</v>
      </c>
      <c r="DG7">
        <v>0.65492840578882106</v>
      </c>
      <c r="DH7">
        <v>0.345071594211179</v>
      </c>
      <c r="DI7">
        <v>0.54491056362521595</v>
      </c>
      <c r="DJ7">
        <v>0.436244928650588</v>
      </c>
      <c r="DK7">
        <v>4.9827975645483802</v>
      </c>
      <c r="DL7">
        <v>1.90318994493143</v>
      </c>
      <c r="DM7">
        <v>1.11431917204166E-2</v>
      </c>
      <c r="DN7">
        <v>5.7351807411049602E-2</v>
      </c>
      <c r="DO7">
        <v>0.9</v>
      </c>
      <c r="DP7">
        <v>17.326203208556102</v>
      </c>
      <c r="DQ7">
        <v>0.17577221073204199</v>
      </c>
      <c r="DR7">
        <v>-0.147202204631736</v>
      </c>
      <c r="DS7" s="3">
        <v>0</v>
      </c>
      <c r="DT7" s="3">
        <v>0</v>
      </c>
      <c r="DU7" s="3">
        <v>9.8807134068663593E-3</v>
      </c>
      <c r="DV7" s="3">
        <v>9.4268496634588098E-3</v>
      </c>
      <c r="DW7" s="3">
        <v>1.0367167266612701E-2</v>
      </c>
      <c r="DX7" s="5">
        <v>5.1203661661178103E-2</v>
      </c>
      <c r="DY7" s="5">
        <v>5.2310327896154897E-2</v>
      </c>
      <c r="DZ7" s="5">
        <v>5.0096995426201198E-2</v>
      </c>
      <c r="EA7">
        <v>2.41099795775833</v>
      </c>
      <c r="EB7">
        <v>1.65331014799399</v>
      </c>
      <c r="EC7">
        <v>3.2784122998593399</v>
      </c>
      <c r="ED7">
        <v>4.7765103895676999</v>
      </c>
      <c r="EE7">
        <v>4.7765103895676999</v>
      </c>
      <c r="EF7">
        <v>4.7765103895676999</v>
      </c>
    </row>
    <row r="8" spans="1:136" x14ac:dyDescent="0.2">
      <c r="A8" t="s">
        <v>89</v>
      </c>
      <c r="B8">
        <v>2.6739115286303199</v>
      </c>
      <c r="C8">
        <v>2.6003057915843599</v>
      </c>
      <c r="D8">
        <v>2.7568221480158299</v>
      </c>
      <c r="E8">
        <v>4.4825121506301304</v>
      </c>
      <c r="F8">
        <v>3.73668693830284</v>
      </c>
      <c r="G8">
        <v>5.3933490102152604</v>
      </c>
      <c r="H8">
        <v>0</v>
      </c>
      <c r="I8">
        <v>0</v>
      </c>
      <c r="J8">
        <v>0</v>
      </c>
      <c r="K8">
        <v>7.1564236792604499</v>
      </c>
      <c r="L8">
        <v>6.4037304301582498</v>
      </c>
      <c r="M8">
        <v>8.0686969557083703</v>
      </c>
      <c r="N8">
        <v>7.4277282610404898</v>
      </c>
      <c r="O8" s="20">
        <v>6.1603741032346999</v>
      </c>
      <c r="P8" s="20">
        <v>8.9125319627413901</v>
      </c>
      <c r="Q8" s="20">
        <v>0</v>
      </c>
      <c r="R8">
        <v>1.2427774853092</v>
      </c>
      <c r="S8" s="12">
        <v>15.8269294256101</v>
      </c>
      <c r="T8" s="6">
        <v>14.121901702271099</v>
      </c>
      <c r="U8" s="6">
        <v>17.787287853419699</v>
      </c>
      <c r="V8" s="7">
        <v>1000</v>
      </c>
      <c r="W8" s="21">
        <v>0.11874017442462</v>
      </c>
      <c r="X8" s="21">
        <v>11</v>
      </c>
      <c r="Y8" s="8">
        <v>40.927999999999997</v>
      </c>
      <c r="Z8" s="7">
        <v>284.66581394117702</v>
      </c>
      <c r="AA8" s="7">
        <v>40365</v>
      </c>
      <c r="AB8" s="7">
        <v>192459</v>
      </c>
      <c r="AC8" s="6">
        <v>1.7471737405793999</v>
      </c>
      <c r="AD8">
        <v>86</v>
      </c>
      <c r="AE8">
        <v>80.231999999999999</v>
      </c>
      <c r="AF8">
        <v>54</v>
      </c>
      <c r="AG8">
        <v>15.961</v>
      </c>
      <c r="AH8">
        <v>144</v>
      </c>
      <c r="AI8" s="4">
        <v>89</v>
      </c>
      <c r="AJ8" s="4">
        <v>25.303999999999998</v>
      </c>
      <c r="AK8" s="4">
        <v>3.9166890139395201</v>
      </c>
      <c r="AL8" s="6" t="s">
        <v>32</v>
      </c>
      <c r="AM8" s="11" t="s">
        <v>31</v>
      </c>
      <c r="AN8" s="12">
        <v>20230824</v>
      </c>
      <c r="AO8" s="12" t="s">
        <v>32</v>
      </c>
      <c r="AP8" s="12">
        <v>110154</v>
      </c>
      <c r="AQ8">
        <v>4.7679522139981803</v>
      </c>
      <c r="AR8">
        <v>0.45796686083536697</v>
      </c>
      <c r="AS8">
        <v>5.4379064936287302E-2</v>
      </c>
      <c r="AT8" s="12">
        <v>3.7548940094747399E-3</v>
      </c>
      <c r="AU8" s="2">
        <v>0.38015493308745402</v>
      </c>
      <c r="AV8" s="2">
        <v>0.61984506691254604</v>
      </c>
      <c r="AW8" s="2">
        <v>0</v>
      </c>
      <c r="AX8" s="3">
        <v>9.3931599710208192E-3</v>
      </c>
      <c r="AY8" s="3">
        <v>8.8285581196937794E-3</v>
      </c>
      <c r="AZ8" s="3">
        <v>1.00291360657986E-2</v>
      </c>
      <c r="BA8" s="3">
        <v>1.5746576972380699E-2</v>
      </c>
      <c r="BB8" s="3">
        <v>1.0025633027706701E-2</v>
      </c>
      <c r="BC8" s="3">
        <v>2.2733263035418599E-2</v>
      </c>
      <c r="BD8" s="3">
        <v>0</v>
      </c>
      <c r="BE8" s="3">
        <v>0</v>
      </c>
      <c r="BF8" s="3">
        <v>0</v>
      </c>
      <c r="BG8" s="3">
        <v>2.5139736943401499E-2</v>
      </c>
      <c r="BH8" s="3">
        <v>2.2495607538885999E-2</v>
      </c>
      <c r="BI8" s="3">
        <v>2.8344453603324798E-2</v>
      </c>
      <c r="BJ8" s="3">
        <v>5.55982792822486E-2</v>
      </c>
      <c r="BK8" s="3">
        <v>-5.9895766890060301E-3</v>
      </c>
      <c r="BL8" s="3">
        <v>6.88652564446915E-3</v>
      </c>
      <c r="BM8" s="3">
        <v>4.9608702593242598E-2</v>
      </c>
      <c r="BN8" s="3">
        <v>6.2484804926717701E-2</v>
      </c>
      <c r="BO8" s="3">
        <v>2.6092800390057899E-2</v>
      </c>
      <c r="BP8" s="3">
        <v>2.1640723267556401E-2</v>
      </c>
      <c r="BQ8" s="3">
        <v>3.1308754076747297E-2</v>
      </c>
      <c r="BR8" s="3">
        <v>0</v>
      </c>
      <c r="BS8" s="3">
        <v>0</v>
      </c>
      <c r="BT8" s="3">
        <v>0</v>
      </c>
      <c r="BU8" s="3">
        <v>4.3657419487891404E-3</v>
      </c>
      <c r="BV8" s="3">
        <v>3.5799083980071001E-3</v>
      </c>
      <c r="BW8" s="3">
        <v>5.1515754995711902E-3</v>
      </c>
      <c r="BX8" s="3">
        <v>3.0458542338847101E-2</v>
      </c>
      <c r="BY8" s="3">
        <v>2.52206316655635E-2</v>
      </c>
      <c r="BZ8" s="3">
        <v>3.64603295763185E-2</v>
      </c>
      <c r="CA8">
        <v>7.8072516658496296E-4</v>
      </c>
      <c r="CB8" s="3">
        <v>7.2836211122610198E-4</v>
      </c>
      <c r="CC8">
        <v>0.98429030482294799</v>
      </c>
      <c r="CD8">
        <v>23103</v>
      </c>
      <c r="CE8">
        <v>2.33735878457343E-3</v>
      </c>
      <c r="CF8" s="5">
        <v>3.9541682150377798E-4</v>
      </c>
      <c r="CG8" s="5">
        <v>6.9086265852919503E-4</v>
      </c>
      <c r="CH8" s="13">
        <v>11.9102404116706</v>
      </c>
      <c r="CI8" s="13">
        <v>10.6428862538648</v>
      </c>
      <c r="CJ8" s="12">
        <v>13.395044113371499</v>
      </c>
      <c r="CK8" s="13">
        <v>11.9102404116706</v>
      </c>
      <c r="CL8" s="13">
        <v>10.6428862538648</v>
      </c>
      <c r="CM8">
        <v>13.395044113371499</v>
      </c>
      <c r="CN8">
        <v>3.9166890139395201</v>
      </c>
      <c r="CO8">
        <v>3.6193833295379001</v>
      </c>
      <c r="CP8">
        <v>4.2232995806806901</v>
      </c>
      <c r="CQ8">
        <v>11.913405272974799</v>
      </c>
      <c r="CR8">
        <v>10.427573045445</v>
      </c>
      <c r="CS8">
        <v>13.643937003610599</v>
      </c>
      <c r="CT8">
        <v>2.40766372408119</v>
      </c>
      <c r="CU8">
        <v>1.7444199472363699</v>
      </c>
      <c r="CV8">
        <v>3.2988699323881101</v>
      </c>
      <c r="CW8">
        <v>0</v>
      </c>
      <c r="CX8">
        <v>0</v>
      </c>
      <c r="CY8">
        <v>0</v>
      </c>
      <c r="CZ8">
        <v>0.141574010734348</v>
      </c>
      <c r="DA8">
        <v>7.6737805462466405E-2</v>
      </c>
      <c r="DB8">
        <v>0.504338286908522</v>
      </c>
      <c r="DC8">
        <v>4.2579973217507296</v>
      </c>
      <c r="DD8">
        <v>3.3318956304110601</v>
      </c>
      <c r="DE8">
        <v>5.6079082232202904</v>
      </c>
      <c r="DF8">
        <v>0.75252786888463297</v>
      </c>
      <c r="DG8">
        <v>0.75252786888463297</v>
      </c>
      <c r="DH8">
        <v>0.24747213111536701</v>
      </c>
      <c r="DI8">
        <v>0.547832880319299</v>
      </c>
      <c r="DJ8">
        <v>0.46930874372858</v>
      </c>
      <c r="DK8">
        <v>7.1564236792604499</v>
      </c>
      <c r="DL8">
        <v>2.6343374033465699</v>
      </c>
      <c r="DM8">
        <v>1.2321595201539901E-2</v>
      </c>
      <c r="DN8">
        <v>5.4455461287783197E-2</v>
      </c>
      <c r="DO8">
        <v>0.9</v>
      </c>
      <c r="DP8">
        <v>17.326203208556102</v>
      </c>
      <c r="DQ8">
        <v>0.12385540234188699</v>
      </c>
      <c r="DR8">
        <v>-0.10770512825623101</v>
      </c>
      <c r="DS8" s="3">
        <v>0</v>
      </c>
      <c r="DT8" s="3">
        <v>0</v>
      </c>
      <c r="DU8" s="3">
        <v>9.5430979889574805E-3</v>
      </c>
      <c r="DV8" s="3">
        <v>9.2593837621628202E-3</v>
      </c>
      <c r="DW8" s="3">
        <v>9.8815667478809599E-3</v>
      </c>
      <c r="DX8" s="5">
        <v>4.8477730768718801E-2</v>
      </c>
      <c r="DY8" s="5">
        <v>4.95537222621504E-2</v>
      </c>
      <c r="DZ8" s="5">
        <v>4.7401739275287201E-2</v>
      </c>
      <c r="EA8">
        <v>4.4856770119342704</v>
      </c>
      <c r="EB8">
        <v>3.7356982826712302</v>
      </c>
      <c r="EC8">
        <v>5.4009016623828598</v>
      </c>
      <c r="ED8">
        <v>7.4277282610404898</v>
      </c>
      <c r="EE8">
        <v>7.4277282610404898</v>
      </c>
      <c r="EF8">
        <v>7.4277282610404898</v>
      </c>
    </row>
    <row r="9" spans="1:136" x14ac:dyDescent="0.2">
      <c r="A9" t="s">
        <v>91</v>
      </c>
      <c r="B9">
        <v>1.82304717124784</v>
      </c>
      <c r="C9">
        <v>1.7774686071785399</v>
      </c>
      <c r="D9">
        <v>1.8744825309806099</v>
      </c>
      <c r="E9">
        <v>3.8350399980590901</v>
      </c>
      <c r="F9">
        <v>3.1464272940760001</v>
      </c>
      <c r="G9">
        <v>4.6760267199188998</v>
      </c>
      <c r="H9">
        <v>0</v>
      </c>
      <c r="I9">
        <v>0</v>
      </c>
      <c r="J9">
        <v>0</v>
      </c>
      <c r="K9">
        <v>5.6580871693069197</v>
      </c>
      <c r="L9">
        <v>4.9669079403351004</v>
      </c>
      <c r="M9">
        <v>6.4909910952533396</v>
      </c>
      <c r="N9">
        <v>4.1865250038175299</v>
      </c>
      <c r="O9" s="20">
        <v>3.55050994549892</v>
      </c>
      <c r="P9" s="20">
        <v>5.1136291214975298</v>
      </c>
      <c r="Q9" s="20">
        <v>0</v>
      </c>
      <c r="R9">
        <v>0.87037444810168496</v>
      </c>
      <c r="S9" s="12">
        <v>10.7149866212261</v>
      </c>
      <c r="T9" s="6">
        <v>9.5832978076718405</v>
      </c>
      <c r="U9" s="6">
        <v>12.0973985598435</v>
      </c>
      <c r="V9" s="7">
        <v>1000</v>
      </c>
      <c r="W9" s="21">
        <v>0.14995684948988899</v>
      </c>
      <c r="X9" s="21">
        <v>23.632191899999999</v>
      </c>
      <c r="Y9" s="8">
        <v>35.770000000000003</v>
      </c>
      <c r="Z9" s="7">
        <v>231.42088684492001</v>
      </c>
      <c r="AA9" s="7">
        <v>31919</v>
      </c>
      <c r="AB9" s="7">
        <v>238393</v>
      </c>
      <c r="AC9" s="6">
        <v>1.99587797622094</v>
      </c>
      <c r="AD9">
        <v>94</v>
      </c>
      <c r="AE9">
        <v>90.563999999999993</v>
      </c>
      <c r="AF9">
        <v>39</v>
      </c>
      <c r="AG9">
        <v>13.333</v>
      </c>
      <c r="AH9">
        <v>151</v>
      </c>
      <c r="AI9" s="4">
        <v>65</v>
      </c>
      <c r="AJ9" s="4">
        <v>16.96</v>
      </c>
      <c r="AK9" s="4">
        <v>2.69342161934952</v>
      </c>
      <c r="AL9" s="6" t="s">
        <v>32</v>
      </c>
      <c r="AM9" s="11" t="s">
        <v>31</v>
      </c>
      <c r="AN9" s="12">
        <v>20230824</v>
      </c>
      <c r="AO9" s="12" t="s">
        <v>32</v>
      </c>
      <c r="AP9" s="12">
        <v>119442</v>
      </c>
      <c r="AQ9">
        <v>7.4688594297148603</v>
      </c>
      <c r="AR9">
        <v>0.36590880241805002</v>
      </c>
      <c r="AS9">
        <v>5.4870531211229E-2</v>
      </c>
      <c r="AT9" s="12">
        <v>4.74205195131108E-3</v>
      </c>
      <c r="AU9" s="2">
        <v>0.33540984708249699</v>
      </c>
      <c r="AV9" s="2">
        <v>0.66459015291750301</v>
      </c>
      <c r="AW9" s="2">
        <v>0</v>
      </c>
      <c r="AX9" s="3">
        <v>7.8776258967043905E-3</v>
      </c>
      <c r="AY9" s="3">
        <v>7.3393744222981904E-3</v>
      </c>
      <c r="AZ9" s="3">
        <v>8.4850420972386893E-3</v>
      </c>
      <c r="BA9" s="3">
        <v>1.6571710748948199E-2</v>
      </c>
      <c r="BB9" s="3">
        <v>8.4396686194457698E-3</v>
      </c>
      <c r="BC9" s="3">
        <v>2.65031851654936E-2</v>
      </c>
      <c r="BD9" s="3">
        <v>0</v>
      </c>
      <c r="BE9" s="3">
        <v>0</v>
      </c>
      <c r="BF9" s="3">
        <v>0</v>
      </c>
      <c r="BG9" s="3">
        <v>2.4449336645652599E-2</v>
      </c>
      <c r="BH9" s="3">
        <v>2.1462660557789399E-2</v>
      </c>
      <c r="BI9" s="3">
        <v>2.80484237345573E-2</v>
      </c>
      <c r="BJ9" s="3">
        <v>4.6300862326253599E-2</v>
      </c>
      <c r="BK9" s="3">
        <v>-4.8901757701441499E-3</v>
      </c>
      <c r="BL9" s="3">
        <v>5.9735832727309604E-3</v>
      </c>
      <c r="BM9" s="3">
        <v>4.1410686556109397E-2</v>
      </c>
      <c r="BN9" s="3">
        <v>5.2274445598984497E-2</v>
      </c>
      <c r="BO9" s="3">
        <v>1.8090523551675002E-2</v>
      </c>
      <c r="BP9" s="3">
        <v>1.53422190792925E-2</v>
      </c>
      <c r="BQ9" s="3">
        <v>2.2096662022232601E-2</v>
      </c>
      <c r="BR9" s="3">
        <v>0</v>
      </c>
      <c r="BS9" s="3">
        <v>0</v>
      </c>
      <c r="BT9" s="3">
        <v>0</v>
      </c>
      <c r="BU9" s="3">
        <v>3.7610021289259899E-3</v>
      </c>
      <c r="BV9" s="3">
        <v>3.0840217457193098E-3</v>
      </c>
      <c r="BW9" s="3">
        <v>4.4379825121326696E-3</v>
      </c>
      <c r="BX9" s="3">
        <v>2.1851525680600999E-2</v>
      </c>
      <c r="BY9" s="3">
        <v>1.8426240825011798E-2</v>
      </c>
      <c r="BZ9" s="3">
        <v>2.6534644534365302E-2</v>
      </c>
      <c r="CA9">
        <v>7.8699285008623397E-4</v>
      </c>
      <c r="CB9" s="3">
        <v>7.58225749736274E-4</v>
      </c>
      <c r="CC9">
        <v>0.98379428671311897</v>
      </c>
      <c r="CD9">
        <v>15992</v>
      </c>
      <c r="CE9">
        <v>2.4387193596798399E-3</v>
      </c>
      <c r="CF9" s="5">
        <v>4.17713587518406E-4</v>
      </c>
      <c r="CG9" s="5">
        <v>8.3372936468234103E-4</v>
      </c>
      <c r="CH9" s="13">
        <v>8.0215650018766098</v>
      </c>
      <c r="CI9" s="13">
        <v>7.3855499435579999</v>
      </c>
      <c r="CJ9" s="12">
        <v>8.9486691195566106</v>
      </c>
      <c r="CK9" s="13">
        <v>8.0215650018766098</v>
      </c>
      <c r="CL9" s="13">
        <v>7.3855499435579999</v>
      </c>
      <c r="CM9">
        <v>8.9486691195566106</v>
      </c>
      <c r="CN9">
        <v>2.69342161934952</v>
      </c>
      <c r="CO9">
        <v>2.4911756546219199</v>
      </c>
      <c r="CP9">
        <v>2.9015243797406001</v>
      </c>
      <c r="CQ9">
        <v>8.0223059577039297</v>
      </c>
      <c r="CR9">
        <v>7.0487771406192001</v>
      </c>
      <c r="CS9">
        <v>9.2509628542994893</v>
      </c>
      <c r="CT9">
        <v>3.56323660584005</v>
      </c>
      <c r="CU9">
        <v>3.0004511016014201</v>
      </c>
      <c r="CV9">
        <v>4.2583336731805401</v>
      </c>
      <c r="CW9">
        <v>0.52661950127701995</v>
      </c>
      <c r="CX9">
        <v>0.34442036993827402</v>
      </c>
      <c r="CY9">
        <v>1.2390651233885901</v>
      </c>
      <c r="CZ9">
        <v>2.03461038655375E-2</v>
      </c>
      <c r="DA9">
        <v>1.27130699547896E-2</v>
      </c>
      <c r="DB9">
        <v>8.1317379172038004E-2</v>
      </c>
      <c r="DC9">
        <v>7.6322792834914999E-2</v>
      </c>
      <c r="DD9">
        <v>4.8395611111490398E-2</v>
      </c>
      <c r="DE9">
        <v>0.24665568461273801</v>
      </c>
      <c r="DF9">
        <v>0.74862414308886804</v>
      </c>
      <c r="DG9">
        <v>0.74862414308886804</v>
      </c>
      <c r="DH9">
        <v>0.25137585691113201</v>
      </c>
      <c r="DI9">
        <v>0.47193743406954602</v>
      </c>
      <c r="DJ9">
        <v>0.39070482558210001</v>
      </c>
      <c r="DK9">
        <v>5.6580871693069197</v>
      </c>
      <c r="DL9">
        <v>3.0533676027580201</v>
      </c>
      <c r="DM9">
        <v>1.44710409482816E-2</v>
      </c>
      <c r="DN9">
        <v>6.1625507639022699E-2</v>
      </c>
      <c r="DO9">
        <v>0.9</v>
      </c>
      <c r="DP9">
        <v>17.326203208556102</v>
      </c>
      <c r="DQ9">
        <v>0.12901625399609901</v>
      </c>
      <c r="DR9">
        <v>-0.10561078546557599</v>
      </c>
      <c r="DS9" s="3">
        <v>0</v>
      </c>
      <c r="DT9" s="3">
        <v>0</v>
      </c>
      <c r="DU9" s="3">
        <v>8.0073810763659492E-3</v>
      </c>
      <c r="DV9" s="3">
        <v>7.7949438248926198E-3</v>
      </c>
      <c r="DW9" s="3">
        <v>8.2505775272095298E-3</v>
      </c>
      <c r="DX9" s="5">
        <v>5.6475808579374398E-2</v>
      </c>
      <c r="DY9" s="5">
        <v>5.7402754410111098E-2</v>
      </c>
      <c r="DZ9" s="5">
        <v>5.5548862748637698E-2</v>
      </c>
      <c r="EA9">
        <v>3.8357809538863998</v>
      </c>
      <c r="EB9">
        <v>3.1490194565380398</v>
      </c>
      <c r="EC9">
        <v>4.67694387058462</v>
      </c>
      <c r="ED9">
        <v>4.1865250038175299</v>
      </c>
      <c r="EE9">
        <v>4.1865250038175299</v>
      </c>
      <c r="EF9">
        <v>4.1865250038175299</v>
      </c>
    </row>
    <row r="10" spans="1:136" x14ac:dyDescent="0.2">
      <c r="A10" t="s">
        <v>90</v>
      </c>
      <c r="B10">
        <v>1.9853748773816</v>
      </c>
      <c r="C10">
        <v>1.9309536476447</v>
      </c>
      <c r="D10">
        <v>2.0442348464375399</v>
      </c>
      <c r="E10">
        <v>2.5864733569943601</v>
      </c>
      <c r="F10">
        <v>1.97140521403424</v>
      </c>
      <c r="G10">
        <v>3.38938282151847</v>
      </c>
      <c r="H10">
        <v>0</v>
      </c>
      <c r="I10">
        <v>0</v>
      </c>
      <c r="J10">
        <v>0</v>
      </c>
      <c r="K10">
        <v>4.5718482343759499</v>
      </c>
      <c r="L10">
        <v>3.9600904795187502</v>
      </c>
      <c r="M10">
        <v>5.3844707240129601</v>
      </c>
      <c r="N10">
        <v>3.79971889869798</v>
      </c>
      <c r="O10" s="20">
        <v>2.96372071389876</v>
      </c>
      <c r="P10" s="20">
        <v>4.9852125819638697</v>
      </c>
      <c r="Q10" s="20">
        <v>0</v>
      </c>
      <c r="R10">
        <v>0.922322870866917</v>
      </c>
      <c r="S10" s="12">
        <v>9.2938900039408505</v>
      </c>
      <c r="T10" s="6">
        <v>8.00118889396051</v>
      </c>
      <c r="U10" s="6">
        <v>10.8283092095455</v>
      </c>
      <c r="V10" s="7">
        <v>1000</v>
      </c>
      <c r="W10" s="21">
        <v>0.19321813276333399</v>
      </c>
      <c r="X10" s="21">
        <v>20.646401600000001</v>
      </c>
      <c r="Y10" s="8">
        <v>41.384999999999998</v>
      </c>
      <c r="Z10" s="7">
        <v>245.23327540106999</v>
      </c>
      <c r="AA10" s="7">
        <v>33090</v>
      </c>
      <c r="AB10" s="7">
        <v>238974</v>
      </c>
      <c r="AC10" s="6">
        <v>1.99587797622094</v>
      </c>
      <c r="AD10">
        <v>48</v>
      </c>
      <c r="AE10">
        <v>45.034999999999997</v>
      </c>
      <c r="AF10">
        <v>27</v>
      </c>
      <c r="AG10">
        <v>8.0850000000000009</v>
      </c>
      <c r="AH10">
        <v>63</v>
      </c>
      <c r="AI10" s="4">
        <v>34</v>
      </c>
      <c r="AJ10" s="4">
        <v>9.2449999999999992</v>
      </c>
      <c r="AK10" s="4">
        <v>2.90769774824851</v>
      </c>
      <c r="AL10" s="6" t="s">
        <v>32</v>
      </c>
      <c r="AM10" s="11" t="s">
        <v>31</v>
      </c>
      <c r="AN10" s="12">
        <v>20230824</v>
      </c>
      <c r="AO10" s="12" t="s">
        <v>32</v>
      </c>
      <c r="AP10" s="12">
        <v>119733</v>
      </c>
      <c r="AQ10">
        <v>7.2219675493093698</v>
      </c>
      <c r="AR10">
        <v>0.37211076458539299</v>
      </c>
      <c r="AS10">
        <v>7.1898547114326194E-2</v>
      </c>
      <c r="AT10" s="12">
        <v>6.1100938477693803E-3</v>
      </c>
      <c r="AU10" s="2">
        <v>0.45631004134822201</v>
      </c>
      <c r="AV10" s="2">
        <v>0.54368995865177805</v>
      </c>
      <c r="AW10" s="2">
        <v>0</v>
      </c>
      <c r="AX10" s="3">
        <v>8.0958624971859596E-3</v>
      </c>
      <c r="AY10" s="3">
        <v>7.4994912196720501E-3</v>
      </c>
      <c r="AZ10" s="3">
        <v>8.7408753921541602E-3</v>
      </c>
      <c r="BA10" s="3">
        <v>1.05469918499611E-2</v>
      </c>
      <c r="BB10" s="3">
        <v>3.8068101975322101E-3</v>
      </c>
      <c r="BC10" s="3">
        <v>1.93456196171253E-2</v>
      </c>
      <c r="BD10" s="3">
        <v>0</v>
      </c>
      <c r="BE10" s="3">
        <v>0</v>
      </c>
      <c r="BF10" s="3">
        <v>0</v>
      </c>
      <c r="BG10" s="3">
        <v>1.86428543471471E-2</v>
      </c>
      <c r="BH10" s="3">
        <v>1.6148259134255698E-2</v>
      </c>
      <c r="BI10" s="3">
        <v>2.19565257414879E-2</v>
      </c>
      <c r="BJ10" s="3">
        <v>3.7898160389290801E-2</v>
      </c>
      <c r="BK10" s="3">
        <v>-5.2713120104365199E-3</v>
      </c>
      <c r="BL10" s="3">
        <v>6.2569779859407704E-3</v>
      </c>
      <c r="BM10" s="3">
        <v>3.2626848378854302E-2</v>
      </c>
      <c r="BN10" s="3">
        <v>4.4155138375231502E-2</v>
      </c>
      <c r="BO10" s="3">
        <v>1.54943039132177E-2</v>
      </c>
      <c r="BP10" s="3">
        <v>1.20853122768585E-2</v>
      </c>
      <c r="BQ10" s="3">
        <v>2.03284508344585E-2</v>
      </c>
      <c r="BR10" s="3">
        <v>0</v>
      </c>
      <c r="BS10" s="3">
        <v>0</v>
      </c>
      <c r="BT10" s="3">
        <v>0</v>
      </c>
      <c r="BU10" s="3">
        <v>3.7610021289259899E-3</v>
      </c>
      <c r="BV10" s="3">
        <v>3.0840217457193098E-3</v>
      </c>
      <c r="BW10" s="3">
        <v>4.4379825121326696E-3</v>
      </c>
      <c r="BX10" s="3">
        <v>1.9255306042143702E-2</v>
      </c>
      <c r="BY10" s="3">
        <v>1.51693340225778E-2</v>
      </c>
      <c r="BZ10" s="3">
        <v>2.4766433346591201E-2</v>
      </c>
      <c r="CA10">
        <v>4.0089198466588199E-4</v>
      </c>
      <c r="CB10" s="3">
        <v>3.7612855269641602E-4</v>
      </c>
      <c r="CC10">
        <v>0.98127098186338702</v>
      </c>
      <c r="CD10">
        <v>16579</v>
      </c>
      <c r="CE10">
        <v>1.6285662585198101E-3</v>
      </c>
      <c r="CF10" s="5">
        <v>2.4433363553943798E-4</v>
      </c>
      <c r="CG10" s="5">
        <v>4.8766511852343301E-4</v>
      </c>
      <c r="CH10" s="13">
        <v>6.3861922556923396</v>
      </c>
      <c r="CI10" s="13">
        <v>5.5501940708931201</v>
      </c>
      <c r="CJ10" s="12">
        <v>7.5716859389582298</v>
      </c>
      <c r="CK10" s="13">
        <v>6.3861922556923396</v>
      </c>
      <c r="CL10" s="13">
        <v>5.5501940708931201</v>
      </c>
      <c r="CM10">
        <v>7.5716859389582298</v>
      </c>
      <c r="CN10">
        <v>2.90769774824851</v>
      </c>
      <c r="CO10">
        <v>2.6872584017555701</v>
      </c>
      <c r="CP10">
        <v>3.1325758340604999</v>
      </c>
      <c r="CQ10">
        <v>6.3829070356628899</v>
      </c>
      <c r="CR10">
        <v>5.2543018269354498</v>
      </c>
      <c r="CS10">
        <v>7.7487475774938002</v>
      </c>
      <c r="CT10">
        <v>2.8777993676224898</v>
      </c>
      <c r="CU10">
        <v>2.2102214919902301</v>
      </c>
      <c r="CV10">
        <v>3.7996829858811201</v>
      </c>
      <c r="CW10">
        <v>0.69395434807436596</v>
      </c>
      <c r="CX10">
        <v>0.43572646502505502</v>
      </c>
      <c r="CY10">
        <v>1.6694554867809901</v>
      </c>
      <c r="CZ10">
        <v>0.22796518300112101</v>
      </c>
      <c r="DA10">
        <v>0.15395557573892901</v>
      </c>
      <c r="DB10">
        <v>0.29015932212522599</v>
      </c>
      <c r="DC10">
        <v>0</v>
      </c>
      <c r="DD10">
        <v>0</v>
      </c>
      <c r="DE10">
        <v>0</v>
      </c>
      <c r="DF10">
        <v>0.68712475952899499</v>
      </c>
      <c r="DG10">
        <v>0.68712475952899499</v>
      </c>
      <c r="DH10">
        <v>0.31287524047100501</v>
      </c>
      <c r="DI10">
        <v>0.50806417682987604</v>
      </c>
      <c r="DJ10">
        <v>0.40882028386681002</v>
      </c>
      <c r="DK10">
        <v>4.5718482343759499</v>
      </c>
      <c r="DL10">
        <v>2.2596438491597701</v>
      </c>
      <c r="DM10">
        <v>1.4791801399425099E-2</v>
      </c>
      <c r="DN10">
        <v>6.1625507639022699E-2</v>
      </c>
      <c r="DO10">
        <v>0.9</v>
      </c>
      <c r="DP10">
        <v>17.326203208556102</v>
      </c>
      <c r="DQ10">
        <v>0.16507319766513601</v>
      </c>
      <c r="DR10">
        <v>-0.13909369468237601</v>
      </c>
      <c r="DS10" s="3">
        <v>0</v>
      </c>
      <c r="DT10" s="3">
        <v>0</v>
      </c>
      <c r="DU10" s="3">
        <v>8.2503622244546292E-3</v>
      </c>
      <c r="DV10" s="3">
        <v>8.00635495746258E-3</v>
      </c>
      <c r="DW10" s="3">
        <v>8.5084676727597008E-3</v>
      </c>
      <c r="DX10" s="5">
        <v>5.6475808579374398E-2</v>
      </c>
      <c r="DY10" s="5">
        <v>5.7402754410111098E-2</v>
      </c>
      <c r="DZ10" s="5">
        <v>5.5548862748637698E-2</v>
      </c>
      <c r="EA10">
        <v>2.5831881369649099</v>
      </c>
      <c r="EB10">
        <v>1.9661412611259499</v>
      </c>
      <c r="EC10">
        <v>3.38707365438965</v>
      </c>
      <c r="ED10">
        <v>3.79971889869798</v>
      </c>
      <c r="EE10">
        <v>3.79971889869798</v>
      </c>
      <c r="EF10">
        <v>3.79971889869798</v>
      </c>
    </row>
    <row r="11" spans="1:136" x14ac:dyDescent="0.2">
      <c r="A11" t="s">
        <v>92</v>
      </c>
      <c r="B11">
        <v>1.7377204202665699</v>
      </c>
      <c r="C11">
        <v>1.6743380566216901</v>
      </c>
      <c r="D11">
        <v>1.8085957968402799</v>
      </c>
      <c r="E11">
        <v>1.74820358998658</v>
      </c>
      <c r="F11">
        <v>1.29527478224628</v>
      </c>
      <c r="G11">
        <v>2.2882188277218898</v>
      </c>
      <c r="H11">
        <v>0</v>
      </c>
      <c r="I11">
        <v>0</v>
      </c>
      <c r="J11">
        <v>0</v>
      </c>
      <c r="K11">
        <v>3.4859240102531501</v>
      </c>
      <c r="L11">
        <v>3.0311374096302202</v>
      </c>
      <c r="M11">
        <v>4.0294485861694502</v>
      </c>
      <c r="N11">
        <v>0.79207097616378097</v>
      </c>
      <c r="O11" s="20">
        <v>0.55198034000773999</v>
      </c>
      <c r="P11" s="20">
        <v>1.0892979192074099</v>
      </c>
      <c r="Q11" s="20">
        <v>0</v>
      </c>
      <c r="R11">
        <v>0.74474802017904296</v>
      </c>
      <c r="S11" s="12">
        <v>5.0227430065959702</v>
      </c>
      <c r="T11" s="6">
        <v>4.3649797002558302</v>
      </c>
      <c r="U11" s="6">
        <v>5.7629903300851604</v>
      </c>
      <c r="V11" s="7">
        <v>1000</v>
      </c>
      <c r="W11" s="21">
        <v>0.11255103650529701</v>
      </c>
      <c r="X11" s="21">
        <v>15.958829700000001</v>
      </c>
      <c r="Y11" s="8">
        <v>23.31</v>
      </c>
      <c r="Z11" s="7">
        <v>198.01850534759399</v>
      </c>
      <c r="AA11" s="7">
        <v>33418</v>
      </c>
      <c r="AB11" s="7">
        <v>119340</v>
      </c>
      <c r="AC11" s="6">
        <v>1.99587797622094</v>
      </c>
      <c r="AD11">
        <v>47</v>
      </c>
      <c r="AE11">
        <v>41.168999999999997</v>
      </c>
      <c r="AF11">
        <v>35</v>
      </c>
      <c r="AG11">
        <v>15.747999999999999</v>
      </c>
      <c r="AH11">
        <v>17</v>
      </c>
      <c r="AI11" s="4">
        <v>12</v>
      </c>
      <c r="AJ11" s="4">
        <v>6.3129999999999997</v>
      </c>
      <c r="AK11" s="4">
        <v>2.4824684404456101</v>
      </c>
      <c r="AL11" s="6" t="s">
        <v>32</v>
      </c>
      <c r="AM11" s="11" t="s">
        <v>31</v>
      </c>
      <c r="AN11" s="12">
        <v>20230824</v>
      </c>
      <c r="AO11" s="12" t="s">
        <v>32</v>
      </c>
      <c r="AP11" s="12">
        <v>59793</v>
      </c>
      <c r="AQ11">
        <v>3.5712237950188102</v>
      </c>
      <c r="AR11">
        <v>0.52916543291403595</v>
      </c>
      <c r="AS11">
        <v>5.9558117957248802E-2</v>
      </c>
      <c r="AT11" s="12">
        <v>3.5591762836949502E-3</v>
      </c>
      <c r="AU11" s="2">
        <v>0.50823263814666497</v>
      </c>
      <c r="AV11" s="2">
        <v>0.49176736185333503</v>
      </c>
      <c r="AW11" s="2">
        <v>0</v>
      </c>
      <c r="AX11" s="3">
        <v>8.7755455845717201E-3</v>
      </c>
      <c r="AY11" s="3">
        <v>8.17066285338886E-3</v>
      </c>
      <c r="AZ11" s="3">
        <v>9.4519370740990694E-3</v>
      </c>
      <c r="BA11" s="3">
        <v>8.8284859383109503E-3</v>
      </c>
      <c r="BB11" s="3">
        <v>4.5060088563205697E-3</v>
      </c>
      <c r="BC11" s="3">
        <v>1.39820629445561E-2</v>
      </c>
      <c r="BD11" s="3">
        <v>0</v>
      </c>
      <c r="BE11" s="3">
        <v>0</v>
      </c>
      <c r="BF11" s="3">
        <v>0</v>
      </c>
      <c r="BG11" s="3">
        <v>1.7604031522882702E-2</v>
      </c>
      <c r="BH11" s="3">
        <v>1.5307344151040301E-2</v>
      </c>
      <c r="BI11" s="3">
        <v>2.03488486043076E-2</v>
      </c>
      <c r="BJ11" s="3">
        <v>2.5365018273313701E-2</v>
      </c>
      <c r="BK11" s="3">
        <v>-3.32172644766473E-3</v>
      </c>
      <c r="BL11" s="3">
        <v>3.7382734618150201E-3</v>
      </c>
      <c r="BM11" s="3">
        <v>2.20432918256489E-2</v>
      </c>
      <c r="BN11" s="3">
        <v>2.9103291735128701E-2</v>
      </c>
      <c r="BO11" s="3">
        <v>3.9999846215050001E-3</v>
      </c>
      <c r="BP11" s="3">
        <v>2.7875189696983898E-3</v>
      </c>
      <c r="BQ11" s="3">
        <v>5.5009905124538596E-3</v>
      </c>
      <c r="BR11" s="3">
        <v>0</v>
      </c>
      <c r="BS11" s="3">
        <v>0</v>
      </c>
      <c r="BT11" s="3">
        <v>0</v>
      </c>
      <c r="BU11" s="3">
        <v>3.7610021289259899E-3</v>
      </c>
      <c r="BV11" s="3">
        <v>3.0840217457193098E-3</v>
      </c>
      <c r="BW11" s="3">
        <v>4.4379825121326696E-3</v>
      </c>
      <c r="BX11" s="3">
        <v>7.7609867504310004E-3</v>
      </c>
      <c r="BY11" s="3">
        <v>5.8715407154177101E-3</v>
      </c>
      <c r="BZ11" s="3">
        <v>9.9389730245865292E-3</v>
      </c>
      <c r="CA11">
        <v>7.8604518923619797E-4</v>
      </c>
      <c r="CB11" s="3">
        <v>6.8852541267372402E-4</v>
      </c>
      <c r="CC11">
        <v>0.96134658212838198</v>
      </c>
      <c r="CD11">
        <v>16743</v>
      </c>
      <c r="CE11">
        <v>2.0904258496087899E-3</v>
      </c>
      <c r="CF11" s="5">
        <v>4.7124304267161401E-4</v>
      </c>
      <c r="CG11" s="5">
        <v>9.4057217941826397E-4</v>
      </c>
      <c r="CH11" s="13">
        <v>2.5402745661503601</v>
      </c>
      <c r="CI11" s="13">
        <v>2.3001839299943199</v>
      </c>
      <c r="CJ11" s="12">
        <v>2.8375015091939901</v>
      </c>
      <c r="CK11" s="13">
        <v>2.5402745661503601</v>
      </c>
      <c r="CL11" s="13">
        <v>2.3001839299943199</v>
      </c>
      <c r="CM11">
        <v>2.8375015091939901</v>
      </c>
      <c r="CN11">
        <v>2.4824684404456101</v>
      </c>
      <c r="CO11">
        <v>2.28503143316851</v>
      </c>
      <c r="CP11">
        <v>2.6873984606515502</v>
      </c>
      <c r="CQ11">
        <v>2.5499900378454501</v>
      </c>
      <c r="CR11">
        <v>2.0217207242630102</v>
      </c>
      <c r="CS11">
        <v>3.1596323088268998</v>
      </c>
      <c r="CT11">
        <v>0.53737716079051001</v>
      </c>
      <c r="CU11">
        <v>0.36316852910556402</v>
      </c>
      <c r="CV11">
        <v>0.77599237934736898</v>
      </c>
      <c r="CW11">
        <v>0.25469381537327102</v>
      </c>
      <c r="CX11">
        <v>0.125524676418624</v>
      </c>
      <c r="CY11">
        <v>0.44057961921434802</v>
      </c>
      <c r="CZ11">
        <v>0</v>
      </c>
      <c r="DA11">
        <v>0</v>
      </c>
      <c r="DB11">
        <v>0</v>
      </c>
      <c r="DC11">
        <v>0</v>
      </c>
      <c r="DD11">
        <v>0</v>
      </c>
      <c r="DE11">
        <v>0</v>
      </c>
      <c r="DF11">
        <v>0.50573748621313197</v>
      </c>
      <c r="DG11">
        <v>0.50573748621313197</v>
      </c>
      <c r="DH11">
        <v>0.49426251378686797</v>
      </c>
      <c r="DI11">
        <v>0.30597382319524002</v>
      </c>
      <c r="DJ11">
        <v>0.15769399573238299</v>
      </c>
      <c r="DK11">
        <v>3.4859240102531501</v>
      </c>
      <c r="DL11">
        <v>1.9285179874523799</v>
      </c>
      <c r="DM11">
        <v>1.1826942922271599E-2</v>
      </c>
      <c r="DN11">
        <v>6.1625507639022699E-2</v>
      </c>
      <c r="DO11">
        <v>0.9</v>
      </c>
      <c r="DP11">
        <v>17.326203208556102</v>
      </c>
      <c r="DQ11">
        <v>0.14736195701761701</v>
      </c>
      <c r="DR11">
        <v>-0.13094790355152999</v>
      </c>
      <c r="DS11" s="3">
        <v>0</v>
      </c>
      <c r="DT11" s="3">
        <v>0</v>
      </c>
      <c r="DU11" s="3">
        <v>9.1284472883493492E-3</v>
      </c>
      <c r="DV11" s="3">
        <v>8.7323182661304399E-3</v>
      </c>
      <c r="DW11" s="3">
        <v>9.5414824865275895E-3</v>
      </c>
      <c r="DX11" s="5">
        <v>5.6475808579374398E-2</v>
      </c>
      <c r="DY11" s="5">
        <v>5.7402754410111098E-2</v>
      </c>
      <c r="DZ11" s="5">
        <v>5.5548862748637698E-2</v>
      </c>
      <c r="EA11">
        <v>1.75791906168167</v>
      </c>
      <c r="EB11">
        <v>1.30336519944916</v>
      </c>
      <c r="EC11">
        <v>2.2997778482091298</v>
      </c>
      <c r="ED11">
        <v>0.79207097616378097</v>
      </c>
      <c r="EE11">
        <v>0.79207097616378097</v>
      </c>
      <c r="EF11">
        <v>0.79207097616378097</v>
      </c>
    </row>
    <row r="12" spans="1:136" x14ac:dyDescent="0.2">
      <c r="A12" t="s">
        <v>93</v>
      </c>
      <c r="B12">
        <v>12.251229108235799</v>
      </c>
      <c r="C12">
        <v>11.964058657746801</v>
      </c>
      <c r="D12">
        <v>12.5338511320564</v>
      </c>
      <c r="E12">
        <v>2.2964410398436201</v>
      </c>
      <c r="F12">
        <v>1.63923605865424</v>
      </c>
      <c r="G12">
        <v>3.11893734635597</v>
      </c>
      <c r="H12">
        <v>0</v>
      </c>
      <c r="I12">
        <v>0</v>
      </c>
      <c r="J12">
        <v>0</v>
      </c>
      <c r="K12">
        <v>14.547670148079501</v>
      </c>
      <c r="L12">
        <v>13.823385593714301</v>
      </c>
      <c r="M12">
        <v>15.395625355743601</v>
      </c>
      <c r="N12">
        <v>0.70508496188291703</v>
      </c>
      <c r="O12" s="20">
        <v>0.457688562874557</v>
      </c>
      <c r="P12" s="20">
        <v>1.05847022362265</v>
      </c>
      <c r="Q12" s="20">
        <v>0</v>
      </c>
      <c r="R12">
        <v>6.2465240391779702</v>
      </c>
      <c r="S12" s="12">
        <v>21.499279149140399</v>
      </c>
      <c r="T12" s="6">
        <v>19.593732872960501</v>
      </c>
      <c r="U12" s="6">
        <v>23.522515658160799</v>
      </c>
      <c r="V12" s="7">
        <v>1000</v>
      </c>
      <c r="W12" s="21">
        <v>4.8455062131454597E-2</v>
      </c>
      <c r="X12" s="21">
        <v>11.1023447</v>
      </c>
      <c r="Y12" s="8">
        <v>73.004000000000005</v>
      </c>
      <c r="Z12" s="7">
        <v>1997.39449106952</v>
      </c>
      <c r="AA12" s="7">
        <v>11671</v>
      </c>
      <c r="AB12" s="7">
        <v>59356</v>
      </c>
      <c r="AC12" s="6">
        <v>1.6088026118202501</v>
      </c>
      <c r="AD12">
        <v>34</v>
      </c>
      <c r="AE12">
        <v>27.399000000000001</v>
      </c>
      <c r="AF12">
        <v>27</v>
      </c>
      <c r="AG12">
        <v>8.4990000000000006</v>
      </c>
      <c r="AH12">
        <v>24</v>
      </c>
      <c r="AI12" s="4">
        <v>9</v>
      </c>
      <c r="AJ12" s="4">
        <v>4.383</v>
      </c>
      <c r="AK12" s="4">
        <v>18.4977531474138</v>
      </c>
      <c r="AL12" s="6" t="s">
        <v>32</v>
      </c>
      <c r="AM12" s="11" t="s">
        <v>31</v>
      </c>
      <c r="AN12" s="12">
        <v>20230824</v>
      </c>
      <c r="AO12" s="12" t="s">
        <v>32</v>
      </c>
      <c r="AP12" s="12">
        <v>36894</v>
      </c>
      <c r="AQ12">
        <v>5.0860215053763396</v>
      </c>
      <c r="AR12">
        <v>0.44341553440561798</v>
      </c>
      <c r="AS12">
        <v>2.1485727269676399E-2</v>
      </c>
      <c r="AT12" s="12">
        <v>1.5322836050037001E-3</v>
      </c>
      <c r="AU12" s="2">
        <v>0.84524807936736102</v>
      </c>
      <c r="AV12" s="2">
        <v>0.15475192063263901</v>
      </c>
      <c r="AW12" s="2">
        <v>0</v>
      </c>
      <c r="AX12" s="3">
        <v>6.13360513559634E-3</v>
      </c>
      <c r="AY12" s="3">
        <v>5.8093663248454299E-3</v>
      </c>
      <c r="AZ12" s="3">
        <v>6.4527084024524296E-3</v>
      </c>
      <c r="BA12" s="3">
        <v>1.1497183205977401E-3</v>
      </c>
      <c r="BB12" s="3">
        <v>4.0768040841866098E-4</v>
      </c>
      <c r="BC12" s="3">
        <v>2.0783835917508701E-3</v>
      </c>
      <c r="BD12" s="3">
        <v>0</v>
      </c>
      <c r="BE12" s="3">
        <v>0</v>
      </c>
      <c r="BF12" s="3">
        <v>0</v>
      </c>
      <c r="BG12" s="3">
        <v>7.2833234561940803E-3</v>
      </c>
      <c r="BH12" s="3">
        <v>6.9207087811243998E-3</v>
      </c>
      <c r="BI12" s="3">
        <v>7.70785411924304E-3</v>
      </c>
      <c r="BJ12" s="3">
        <v>1.07636619832812E-2</v>
      </c>
      <c r="BK12" s="3">
        <v>-9.5401598667646601E-4</v>
      </c>
      <c r="BL12" s="3">
        <v>1.0129378638353401E-3</v>
      </c>
      <c r="BM12" s="3">
        <v>9.8096459966047697E-3</v>
      </c>
      <c r="BN12" s="3">
        <v>1.17765998471166E-2</v>
      </c>
      <c r="BO12" s="3">
        <v>3.5300235633741698E-4</v>
      </c>
      <c r="BP12" s="3">
        <v>2.29142798240865E-4</v>
      </c>
      <c r="BQ12" s="3">
        <v>5.2992547458959201E-4</v>
      </c>
      <c r="BR12" s="3">
        <v>0</v>
      </c>
      <c r="BS12" s="3">
        <v>0</v>
      </c>
      <c r="BT12" s="3">
        <v>0</v>
      </c>
      <c r="BU12" s="3">
        <v>3.12733617074974E-3</v>
      </c>
      <c r="BV12" s="3">
        <v>2.5644156600147898E-3</v>
      </c>
      <c r="BW12" s="3">
        <v>3.6902566814846901E-3</v>
      </c>
      <c r="BX12" s="3">
        <v>3.4803385270871599E-3</v>
      </c>
      <c r="BY12" s="3">
        <v>2.7935584582556498E-3</v>
      </c>
      <c r="BZ12" s="3">
        <v>4.2201821560742796E-3</v>
      </c>
      <c r="CA12">
        <v>9.2155906109394497E-4</v>
      </c>
      <c r="CB12" s="3">
        <v>7.42641079850382E-4</v>
      </c>
      <c r="CC12">
        <v>0.97610079106764103</v>
      </c>
      <c r="CD12">
        <v>7254</v>
      </c>
      <c r="CE12">
        <v>3.7220843672456602E-3</v>
      </c>
      <c r="CF12" s="5">
        <v>7.2821523434152995E-4</v>
      </c>
      <c r="CG12" s="5">
        <v>1.1716294458229901E-3</v>
      </c>
      <c r="CH12" s="13">
        <v>3.0015260017265302</v>
      </c>
      <c r="CI12" s="13">
        <v>2.7541296027181801</v>
      </c>
      <c r="CJ12" s="12">
        <v>3.3549112634662701</v>
      </c>
      <c r="CK12" s="13">
        <v>3.0015260017265302</v>
      </c>
      <c r="CL12" s="13">
        <v>2.7541296027181801</v>
      </c>
      <c r="CM12">
        <v>3.3549112634662701</v>
      </c>
      <c r="CN12">
        <v>18.4977531474138</v>
      </c>
      <c r="CO12">
        <v>17.086208369872701</v>
      </c>
      <c r="CP12">
        <v>19.9047494982864</v>
      </c>
      <c r="CQ12">
        <v>3.0468876690417002</v>
      </c>
      <c r="CR12">
        <v>2.3191682285539299</v>
      </c>
      <c r="CS12">
        <v>3.9131664249571401</v>
      </c>
      <c r="CT12">
        <v>0.21890851891243099</v>
      </c>
      <c r="CU12">
        <v>0.12325877810262099</v>
      </c>
      <c r="CV12">
        <v>0.41892932755249301</v>
      </c>
      <c r="CW12">
        <v>0.249026104770004</v>
      </c>
      <c r="CX12">
        <v>0.132155316598558</v>
      </c>
      <c r="CY12">
        <v>0.440856058296897</v>
      </c>
      <c r="CZ12">
        <v>0.23715033820048201</v>
      </c>
      <c r="DA12">
        <v>0.13117838969274201</v>
      </c>
      <c r="DB12">
        <v>0.49322092961376302</v>
      </c>
      <c r="DC12">
        <v>0</v>
      </c>
      <c r="DD12">
        <v>0</v>
      </c>
      <c r="DE12">
        <v>0</v>
      </c>
      <c r="DF12">
        <v>0.139606740454294</v>
      </c>
      <c r="DG12">
        <v>0.139606740454294</v>
      </c>
      <c r="DH12">
        <v>0.860393259545706</v>
      </c>
      <c r="DI12">
        <v>0.32334260278189098</v>
      </c>
      <c r="DJ12">
        <v>3.2795113501952397E-2</v>
      </c>
      <c r="DK12">
        <v>14.547670148079501</v>
      </c>
      <c r="DL12">
        <v>1.1590675590348101</v>
      </c>
      <c r="DM12">
        <v>0.27535077075675701</v>
      </c>
      <c r="DN12">
        <v>9.7082922446813796E-3</v>
      </c>
      <c r="DO12">
        <v>0.9</v>
      </c>
      <c r="DP12">
        <v>17.326203208556102</v>
      </c>
      <c r="DQ12">
        <v>9.4100965910240003E-2</v>
      </c>
      <c r="DR12">
        <v>-8.86337162039669E-2</v>
      </c>
      <c r="DS12" s="3">
        <v>0</v>
      </c>
      <c r="DT12" s="3">
        <v>0</v>
      </c>
      <c r="DU12" s="3">
        <v>6.2838103828195303E-3</v>
      </c>
      <c r="DV12" s="3">
        <v>6.1247692753766602E-3</v>
      </c>
      <c r="DW12" s="3">
        <v>6.4553489364007899E-3</v>
      </c>
      <c r="DX12" s="5">
        <v>5.4262313508968698E-3</v>
      </c>
      <c r="DY12" s="5">
        <v>6.19700231177808E-3</v>
      </c>
      <c r="DZ12" s="5">
        <v>4.6554603900156597E-3</v>
      </c>
      <c r="EA12">
        <v>2.3418027071587799</v>
      </c>
      <c r="EB12">
        <v>1.6938917017610799</v>
      </c>
      <c r="EC12">
        <v>3.1706608055069099</v>
      </c>
      <c r="ED12">
        <v>0.70508496188291703</v>
      </c>
      <c r="EE12">
        <v>0.70508496188291703</v>
      </c>
      <c r="EF12">
        <v>0.70508496188291703</v>
      </c>
    </row>
    <row r="13" spans="1:136" x14ac:dyDescent="0.2">
      <c r="A13" t="s">
        <v>94</v>
      </c>
      <c r="B13">
        <v>12.336306355593001</v>
      </c>
      <c r="C13">
        <v>12.082028549478601</v>
      </c>
      <c r="D13">
        <v>12.6044609810347</v>
      </c>
      <c r="E13">
        <v>2.3001303287728199</v>
      </c>
      <c r="F13">
        <v>1.5495883856700301</v>
      </c>
      <c r="G13">
        <v>3.2403388025992901</v>
      </c>
      <c r="H13">
        <v>0</v>
      </c>
      <c r="I13">
        <v>0</v>
      </c>
      <c r="J13">
        <v>0</v>
      </c>
      <c r="K13">
        <v>14.636436684365799</v>
      </c>
      <c r="L13">
        <v>13.869038303133699</v>
      </c>
      <c r="M13">
        <v>15.6433008956646</v>
      </c>
      <c r="N13">
        <v>2.3460098075637599</v>
      </c>
      <c r="O13" s="20">
        <v>1.5779409305572301</v>
      </c>
      <c r="P13" s="20">
        <v>4.08960256073515</v>
      </c>
      <c r="Q13" s="20">
        <v>0</v>
      </c>
      <c r="R13">
        <v>6.1693766305727804</v>
      </c>
      <c r="S13" s="12">
        <v>23.1518231225023</v>
      </c>
      <c r="T13" s="6">
        <v>20.8104506192028</v>
      </c>
      <c r="U13" s="6">
        <v>26.190138795125598</v>
      </c>
      <c r="V13" s="7">
        <v>1000</v>
      </c>
      <c r="W13" s="21">
        <v>8.9451923326055297E-2</v>
      </c>
      <c r="X13" s="21">
        <v>10.160212599999999</v>
      </c>
      <c r="Y13" s="8">
        <v>66.960999999999999</v>
      </c>
      <c r="Z13" s="7">
        <v>1972.72576203209</v>
      </c>
      <c r="AA13" s="7">
        <v>11688</v>
      </c>
      <c r="AB13" s="7">
        <v>67811</v>
      </c>
      <c r="AC13" s="6">
        <v>1.6088026118202501</v>
      </c>
      <c r="AD13">
        <v>40</v>
      </c>
      <c r="AE13">
        <v>31.524999999999999</v>
      </c>
      <c r="AF13">
        <v>33</v>
      </c>
      <c r="AG13">
        <v>8.4909999999999997</v>
      </c>
      <c r="AH13">
        <v>29</v>
      </c>
      <c r="AI13" s="4">
        <v>21</v>
      </c>
      <c r="AJ13" s="4">
        <v>7.0860000000000003</v>
      </c>
      <c r="AK13" s="4">
        <v>18.505682986165802</v>
      </c>
      <c r="AL13" s="6" t="s">
        <v>32</v>
      </c>
      <c r="AM13" s="11" t="s">
        <v>31</v>
      </c>
      <c r="AN13" s="12">
        <v>20230824</v>
      </c>
      <c r="AO13" s="12" t="s">
        <v>32</v>
      </c>
      <c r="AP13" s="12">
        <v>42149</v>
      </c>
      <c r="AQ13">
        <v>5.8016517549896802</v>
      </c>
      <c r="AR13">
        <v>0.41516828655555399</v>
      </c>
      <c r="AS13">
        <v>3.7137601736377202E-2</v>
      </c>
      <c r="AT13" s="12">
        <v>2.8287181879307899E-3</v>
      </c>
      <c r="AU13" s="2">
        <v>0.84730981102907299</v>
      </c>
      <c r="AV13" s="2">
        <v>0.15269018897092701</v>
      </c>
      <c r="AW13" s="2">
        <v>0</v>
      </c>
      <c r="AX13" s="3">
        <v>6.2534319736796398E-3</v>
      </c>
      <c r="AY13" s="3">
        <v>5.9429634561495599E-3</v>
      </c>
      <c r="AZ13" s="3">
        <v>6.5808438320008001E-3</v>
      </c>
      <c r="BA13" s="3">
        <v>1.1659655756730599E-3</v>
      </c>
      <c r="BB13" s="3">
        <v>2.4956768794511799E-4</v>
      </c>
      <c r="BC13" s="3">
        <v>2.3139428038031302E-3</v>
      </c>
      <c r="BD13" s="3">
        <v>0</v>
      </c>
      <c r="BE13" s="3">
        <v>0</v>
      </c>
      <c r="BF13" s="3">
        <v>0</v>
      </c>
      <c r="BG13" s="3">
        <v>7.4193975493526999E-3</v>
      </c>
      <c r="BH13" s="3">
        <v>7.0303934637358399E-3</v>
      </c>
      <c r="BI13" s="3">
        <v>7.9297899367170802E-3</v>
      </c>
      <c r="BJ13" s="3">
        <v>1.17359561922352E-2</v>
      </c>
      <c r="BK13" s="3">
        <v>-1.18687176310189E-3</v>
      </c>
      <c r="BL13" s="3">
        <v>1.5401611978207699E-3</v>
      </c>
      <c r="BM13" s="3">
        <v>1.05490844291333E-2</v>
      </c>
      <c r="BN13" s="3">
        <v>1.3276117390056E-2</v>
      </c>
      <c r="BO13" s="3">
        <v>1.18922247213275E-3</v>
      </c>
      <c r="BP13" s="3">
        <v>7.9987850360498602E-4</v>
      </c>
      <c r="BQ13" s="3">
        <v>2.0730720100306799E-3</v>
      </c>
      <c r="BR13" s="3">
        <v>0</v>
      </c>
      <c r="BS13" s="3">
        <v>0</v>
      </c>
      <c r="BT13" s="3">
        <v>0</v>
      </c>
      <c r="BU13" s="3">
        <v>3.12733617074974E-3</v>
      </c>
      <c r="BV13" s="3">
        <v>2.5644156600147898E-3</v>
      </c>
      <c r="BW13" s="3">
        <v>3.6902566814846901E-3</v>
      </c>
      <c r="BX13" s="3">
        <v>4.3165586428824902E-3</v>
      </c>
      <c r="BY13" s="3">
        <v>3.36429416361977E-3</v>
      </c>
      <c r="BZ13" s="3">
        <v>5.76332869151537E-3</v>
      </c>
      <c r="CA13">
        <v>9.4901421148781704E-4</v>
      </c>
      <c r="CB13" s="3">
        <v>7.4794182542883597E-4</v>
      </c>
      <c r="CC13">
        <v>0.975076362607599</v>
      </c>
      <c r="CD13">
        <v>7265</v>
      </c>
      <c r="CE13">
        <v>4.5423262216104602E-3</v>
      </c>
      <c r="CF13" s="5">
        <v>7.2647159479808396E-4</v>
      </c>
      <c r="CG13" s="5">
        <v>1.1687543014452901E-3</v>
      </c>
      <c r="CH13" s="13">
        <v>4.6461401363365802</v>
      </c>
      <c r="CI13" s="13">
        <v>3.8780712593300501</v>
      </c>
      <c r="CJ13" s="12">
        <v>6.3897328895079797</v>
      </c>
      <c r="CK13" s="13">
        <v>4.6461401363365802</v>
      </c>
      <c r="CL13" s="13">
        <v>3.8780712593300501</v>
      </c>
      <c r="CM13">
        <v>6.3897328895079797</v>
      </c>
      <c r="CN13">
        <v>18.505682986165802</v>
      </c>
      <c r="CO13">
        <v>17.140917386548299</v>
      </c>
      <c r="CP13">
        <v>19.884325405110602</v>
      </c>
      <c r="CQ13">
        <v>4.7049275647999096</v>
      </c>
      <c r="CR13">
        <v>3.5230673045343601</v>
      </c>
      <c r="CS13">
        <v>6.6542946949208801</v>
      </c>
      <c r="CT13">
        <v>1.1762972235115801</v>
      </c>
      <c r="CU13">
        <v>0.68793592074622401</v>
      </c>
      <c r="CV13">
        <v>2.8995366192927299</v>
      </c>
      <c r="CW13">
        <v>0.74633917013030504</v>
      </c>
      <c r="CX13">
        <v>0.51714222311471802</v>
      </c>
      <c r="CY13">
        <v>1.1003391080020299</v>
      </c>
      <c r="CZ13">
        <v>0.423373413921872</v>
      </c>
      <c r="DA13">
        <v>0.24760219909075301</v>
      </c>
      <c r="DB13">
        <v>0.69329311334311805</v>
      </c>
      <c r="DC13">
        <v>0</v>
      </c>
      <c r="DD13">
        <v>0</v>
      </c>
      <c r="DE13">
        <v>0</v>
      </c>
      <c r="DF13">
        <v>0.20067685039581101</v>
      </c>
      <c r="DG13">
        <v>0.20067685039581101</v>
      </c>
      <c r="DH13">
        <v>0.79932314960418904</v>
      </c>
      <c r="DI13">
        <v>0.367805909265352</v>
      </c>
      <c r="DJ13">
        <v>0.101329879310601</v>
      </c>
      <c r="DK13">
        <v>14.636436684365799</v>
      </c>
      <c r="DL13">
        <v>1.15688743933831</v>
      </c>
      <c r="DM13">
        <v>0.27153830172499499</v>
      </c>
      <c r="DN13">
        <v>9.7082922446813796E-3</v>
      </c>
      <c r="DO13">
        <v>0.9</v>
      </c>
      <c r="DP13">
        <v>17.326203208556102</v>
      </c>
      <c r="DQ13">
        <v>0.13123754492951201</v>
      </c>
      <c r="DR13">
        <v>-0.101129885482015</v>
      </c>
      <c r="DS13" s="3">
        <v>0</v>
      </c>
      <c r="DT13" s="3">
        <v>0</v>
      </c>
      <c r="DU13" s="3">
        <v>6.41330369883441E-3</v>
      </c>
      <c r="DV13" s="3">
        <v>6.2773947711237598E-3</v>
      </c>
      <c r="DW13" s="3">
        <v>6.5596580758020802E-3</v>
      </c>
      <c r="DX13" s="5">
        <v>5.4262313508968698E-3</v>
      </c>
      <c r="DY13" s="5">
        <v>6.19700231177808E-3</v>
      </c>
      <c r="DZ13" s="5">
        <v>4.6554603900156597E-3</v>
      </c>
      <c r="EA13">
        <v>2.3589177572361502</v>
      </c>
      <c r="EB13">
        <v>1.6133524508018</v>
      </c>
      <c r="EC13">
        <v>3.30193376417746</v>
      </c>
      <c r="ED13">
        <v>2.3460098075637599</v>
      </c>
      <c r="EE13">
        <v>2.3460098075637599</v>
      </c>
      <c r="EF13">
        <v>2.3460098075637599</v>
      </c>
    </row>
    <row r="14" spans="1:136" x14ac:dyDescent="0.2">
      <c r="A14" t="s">
        <v>95</v>
      </c>
      <c r="B14">
        <v>11.7761074172337</v>
      </c>
      <c r="C14">
        <v>11.293235641656301</v>
      </c>
      <c r="D14">
        <v>12.239788123997</v>
      </c>
      <c r="E14">
        <v>38.576581019762799</v>
      </c>
      <c r="F14">
        <v>32.7736174332966</v>
      </c>
      <c r="G14">
        <v>44.947379212321998</v>
      </c>
      <c r="H14">
        <v>0</v>
      </c>
      <c r="I14">
        <v>0</v>
      </c>
      <c r="J14">
        <v>0</v>
      </c>
      <c r="K14">
        <v>50.352688436996502</v>
      </c>
      <c r="L14">
        <v>44.526706633375497</v>
      </c>
      <c r="M14">
        <v>56.704219895834797</v>
      </c>
      <c r="N14">
        <v>7.8388424776295702</v>
      </c>
      <c r="O14" s="20">
        <v>5.6014526264014899</v>
      </c>
      <c r="P14" s="20">
        <v>10.2596472092859</v>
      </c>
      <c r="Q14" s="20">
        <v>0</v>
      </c>
      <c r="R14">
        <v>18.142915552524599</v>
      </c>
      <c r="S14" s="12">
        <v>76.334446467150599</v>
      </c>
      <c r="T14" s="6">
        <v>66.972939039991502</v>
      </c>
      <c r="U14" s="6">
        <v>86.538105783822999</v>
      </c>
      <c r="V14" s="7">
        <v>1000</v>
      </c>
      <c r="W14" s="21">
        <v>6.02602021409177E-2</v>
      </c>
      <c r="X14" s="21">
        <v>92.241416200000003</v>
      </c>
      <c r="Y14" s="8">
        <v>118.15</v>
      </c>
      <c r="Z14" s="7">
        <v>10242.480039304801</v>
      </c>
      <c r="AA14" s="7">
        <v>16105</v>
      </c>
      <c r="AB14" s="7">
        <v>27797</v>
      </c>
      <c r="AC14" s="6">
        <v>1.2580446390776701</v>
      </c>
      <c r="AD14">
        <v>64</v>
      </c>
      <c r="AE14">
        <v>62</v>
      </c>
      <c r="AF14">
        <v>43</v>
      </c>
      <c r="AG14">
        <v>29.53</v>
      </c>
      <c r="AH14">
        <v>23</v>
      </c>
      <c r="AI14" s="4">
        <v>17</v>
      </c>
      <c r="AJ14" s="4">
        <v>11.589</v>
      </c>
      <c r="AK14" s="4">
        <v>29.919022969758199</v>
      </c>
      <c r="AL14" s="6" t="s">
        <v>32</v>
      </c>
      <c r="AM14" s="11" t="s">
        <v>31</v>
      </c>
      <c r="AN14" s="12">
        <v>20230824</v>
      </c>
      <c r="AO14" s="12" t="s">
        <v>32</v>
      </c>
      <c r="AP14" s="12">
        <v>22095</v>
      </c>
      <c r="AQ14">
        <v>1.72603702835716</v>
      </c>
      <c r="AR14">
        <v>0.76115822702748404</v>
      </c>
      <c r="AS14">
        <v>4.58675486218987E-2</v>
      </c>
      <c r="AT14" s="12">
        <v>1.90559491027455E-3</v>
      </c>
      <c r="AU14" s="2">
        <v>0.23553852301503</v>
      </c>
      <c r="AV14" s="2">
        <v>0.76446147698497002</v>
      </c>
      <c r="AW14" s="2">
        <v>0</v>
      </c>
      <c r="AX14" s="3">
        <v>1.14973203482395E-3</v>
      </c>
      <c r="AY14" s="3">
        <v>1.0877948090484901E-3</v>
      </c>
      <c r="AZ14" s="3">
        <v>1.20920765148884E-3</v>
      </c>
      <c r="BA14" s="3">
        <v>3.7663320672071498E-3</v>
      </c>
      <c r="BB14" s="3">
        <v>3.0219947834799398E-3</v>
      </c>
      <c r="BC14" s="3">
        <v>4.5835046293240499E-3</v>
      </c>
      <c r="BD14" s="3">
        <v>0</v>
      </c>
      <c r="BE14" s="3">
        <v>0</v>
      </c>
      <c r="BF14" s="3">
        <v>0</v>
      </c>
      <c r="BG14" s="3">
        <v>4.9160641020311001E-3</v>
      </c>
      <c r="BH14" s="3">
        <v>4.3472583263533199E-3</v>
      </c>
      <c r="BI14" s="3">
        <v>5.5361806591993599E-3</v>
      </c>
      <c r="BJ14" s="3">
        <v>7.4527308009605499E-3</v>
      </c>
      <c r="BK14" s="3">
        <v>-9.1398834962186501E-4</v>
      </c>
      <c r="BL14" s="3">
        <v>9.9620983175135102E-4</v>
      </c>
      <c r="BM14" s="3">
        <v>6.5387424513386897E-3</v>
      </c>
      <c r="BN14" s="3">
        <v>8.4489406327119005E-3</v>
      </c>
      <c r="BO14" s="3">
        <v>7.6532660523120899E-4</v>
      </c>
      <c r="BP14" s="3">
        <v>5.4688440738046799E-4</v>
      </c>
      <c r="BQ14" s="3">
        <v>1.0016760755124901E-3</v>
      </c>
      <c r="BR14" s="3">
        <v>0</v>
      </c>
      <c r="BS14" s="3">
        <v>0</v>
      </c>
      <c r="BT14" s="3">
        <v>0</v>
      </c>
      <c r="BU14" s="3">
        <v>1.7713400936982401E-3</v>
      </c>
      <c r="BV14" s="3">
        <v>1.4524988768325601E-3</v>
      </c>
      <c r="BW14" s="3">
        <v>2.09018131056393E-3</v>
      </c>
      <c r="BX14" s="3">
        <v>2.5366666989294498E-3</v>
      </c>
      <c r="BY14" s="3">
        <v>1.9993832842130298E-3</v>
      </c>
      <c r="BZ14" s="3">
        <v>3.0918573860764099E-3</v>
      </c>
      <c r="CA14">
        <v>2.89658293731614E-3</v>
      </c>
      <c r="CB14" s="3">
        <v>2.8060647205250099E-3</v>
      </c>
      <c r="CC14">
        <v>0.99446062473764896</v>
      </c>
      <c r="CD14">
        <v>12801</v>
      </c>
      <c r="CE14">
        <v>3.3591125693305198E-3</v>
      </c>
      <c r="CF14" s="5">
        <v>1.83359205215771E-3</v>
      </c>
      <c r="CG14" s="5">
        <v>2.3068510272635E-3</v>
      </c>
      <c r="CH14" s="13">
        <v>46.415423497392403</v>
      </c>
      <c r="CI14" s="13">
        <v>44.178033646164302</v>
      </c>
      <c r="CJ14" s="12">
        <v>48.8362282290487</v>
      </c>
      <c r="CK14" s="13">
        <v>46.415423497392403</v>
      </c>
      <c r="CL14" s="13">
        <v>44.178033646164302</v>
      </c>
      <c r="CM14">
        <v>48.8362282290487</v>
      </c>
      <c r="CN14">
        <v>29.919022969758199</v>
      </c>
      <c r="CO14">
        <v>26.170426394726501</v>
      </c>
      <c r="CP14">
        <v>33.648428475975997</v>
      </c>
      <c r="CQ14">
        <v>46.416248052702798</v>
      </c>
      <c r="CR14">
        <v>40.241828120433297</v>
      </c>
      <c r="CS14">
        <v>53.370646842238997</v>
      </c>
      <c r="CT14">
        <v>1.37232732292768</v>
      </c>
      <c r="CU14">
        <v>0.55594134619438296</v>
      </c>
      <c r="CV14">
        <v>2.34167570644997</v>
      </c>
      <c r="CW14">
        <v>6.3682830097803604</v>
      </c>
      <c r="CX14">
        <v>4.3998583132951499</v>
      </c>
      <c r="CY14">
        <v>8.4680276402256407</v>
      </c>
      <c r="CZ14">
        <v>9.8232144921533898E-2</v>
      </c>
      <c r="DA14">
        <v>2.3461939655952301E-2</v>
      </c>
      <c r="DB14">
        <v>0.37465188508521502</v>
      </c>
      <c r="DC14">
        <v>0</v>
      </c>
      <c r="DD14">
        <v>0</v>
      </c>
      <c r="DE14">
        <v>0</v>
      </c>
      <c r="DF14">
        <v>0.60805210068826798</v>
      </c>
      <c r="DG14">
        <v>0.60805210068826798</v>
      </c>
      <c r="DH14">
        <v>0.39194789931173202</v>
      </c>
      <c r="DI14">
        <v>0.34036865030769697</v>
      </c>
      <c r="DJ14">
        <v>0.10269100910278101</v>
      </c>
      <c r="DK14">
        <v>50.352688436996502</v>
      </c>
      <c r="DL14">
        <v>4.2522335331918004</v>
      </c>
      <c r="DM14">
        <v>0.80013124281734305</v>
      </c>
      <c r="DN14">
        <v>5.4988291489690196E-3</v>
      </c>
      <c r="DO14">
        <v>0.9</v>
      </c>
      <c r="DP14">
        <v>17.326203208556102</v>
      </c>
      <c r="DQ14">
        <v>0.13367345495156599</v>
      </c>
      <c r="DR14">
        <v>-0.122640990472984</v>
      </c>
      <c r="DS14" s="3">
        <v>0</v>
      </c>
      <c r="DT14" s="3">
        <v>0</v>
      </c>
      <c r="DU14" s="3">
        <v>1.15613679590216E-3</v>
      </c>
      <c r="DV14" s="3">
        <v>1.1070342553181399E-3</v>
      </c>
      <c r="DW14" s="3">
        <v>1.2063337971467301E-3</v>
      </c>
      <c r="DX14" s="5">
        <v>3.0734467370106002E-3</v>
      </c>
      <c r="DY14" s="5">
        <v>3.5100155711631099E-3</v>
      </c>
      <c r="DZ14" s="5">
        <v>2.6368779028580801E-3</v>
      </c>
      <c r="EA14">
        <v>38.5774055750732</v>
      </c>
      <c r="EB14">
        <v>32.745948765696397</v>
      </c>
      <c r="EC14">
        <v>44.979006820976899</v>
      </c>
      <c r="ED14">
        <v>7.8388424776295702</v>
      </c>
      <c r="EE14">
        <v>7.8388424776295702</v>
      </c>
      <c r="EF14">
        <v>7.8388424776295702</v>
      </c>
    </row>
    <row r="15" spans="1:136" x14ac:dyDescent="0.2">
      <c r="A15" t="s">
        <v>83</v>
      </c>
      <c r="B15">
        <v>10.5453801261925</v>
      </c>
      <c r="C15">
        <v>10.307793876007</v>
      </c>
      <c r="D15">
        <v>10.8170694570051</v>
      </c>
      <c r="E15">
        <v>5.8874223144347004</v>
      </c>
      <c r="F15">
        <v>4.8821175304960596</v>
      </c>
      <c r="G15">
        <v>6.9994631354392904</v>
      </c>
      <c r="H15">
        <v>0</v>
      </c>
      <c r="I15">
        <v>0</v>
      </c>
      <c r="J15">
        <v>0</v>
      </c>
      <c r="K15">
        <v>16.432802440627199</v>
      </c>
      <c r="L15">
        <v>15.3813447884244</v>
      </c>
      <c r="M15">
        <v>17.5631592696562</v>
      </c>
      <c r="N15">
        <v>2.3769866654032401</v>
      </c>
      <c r="O15" s="20">
        <v>1.7140099696961</v>
      </c>
      <c r="P15" s="20">
        <v>3.2267439134865099</v>
      </c>
      <c r="Q15" s="20">
        <v>0</v>
      </c>
      <c r="R15">
        <v>1.3191311322984201</v>
      </c>
      <c r="S15" s="12">
        <v>20.128920238328899</v>
      </c>
      <c r="T15" s="6">
        <v>18.580248978921102</v>
      </c>
      <c r="U15" s="6">
        <v>21.782142200316599</v>
      </c>
      <c r="V15" s="7">
        <v>1000</v>
      </c>
      <c r="W15" s="21">
        <v>6.8822072853055E-2</v>
      </c>
      <c r="X15" s="21">
        <v>8.3545392399999994</v>
      </c>
      <c r="Y15" s="8">
        <v>52.276000000000003</v>
      </c>
      <c r="Z15" s="7">
        <v>350.73926764171102</v>
      </c>
      <c r="AA15" s="7">
        <v>9185</v>
      </c>
      <c r="AB15" s="7">
        <v>32340</v>
      </c>
      <c r="AC15" s="6">
        <v>1.70994738414317</v>
      </c>
      <c r="AD15">
        <v>56</v>
      </c>
      <c r="AE15">
        <v>41.320999999999998</v>
      </c>
      <c r="AF15">
        <v>42</v>
      </c>
      <c r="AG15">
        <v>24.904</v>
      </c>
      <c r="AH15">
        <v>52</v>
      </c>
      <c r="AI15" s="4">
        <v>25</v>
      </c>
      <c r="AJ15" s="4">
        <v>16.312999999999999</v>
      </c>
      <c r="AK15" s="4">
        <v>11.8645112584909</v>
      </c>
      <c r="AL15" s="6" t="s">
        <v>32</v>
      </c>
      <c r="AM15" s="11" t="s">
        <v>31</v>
      </c>
      <c r="AN15" s="12">
        <v>20230824</v>
      </c>
      <c r="AO15" s="12" t="s">
        <v>32</v>
      </c>
      <c r="AP15" s="12">
        <v>18912</v>
      </c>
      <c r="AQ15">
        <v>3.5211320052131798</v>
      </c>
      <c r="AR15">
        <v>0.53291610689503099</v>
      </c>
      <c r="AS15">
        <v>3.6676391133296203E-2</v>
      </c>
      <c r="AT15" s="12">
        <v>2.1763450350969701E-3</v>
      </c>
      <c r="AU15" s="2">
        <v>0.64437361859643205</v>
      </c>
      <c r="AV15" s="2">
        <v>0.355626381403568</v>
      </c>
      <c r="AW15" s="2">
        <v>0</v>
      </c>
      <c r="AX15" s="3">
        <v>3.0066151979780201E-2</v>
      </c>
      <c r="AY15" s="3">
        <v>2.87950568177626E-2</v>
      </c>
      <c r="AZ15" s="3">
        <v>3.15196998753259E-2</v>
      </c>
      <c r="BA15" s="3">
        <v>1.67857518606923E-2</v>
      </c>
      <c r="BB15" s="3">
        <v>1.1407334354544199E-2</v>
      </c>
      <c r="BC15" s="3">
        <v>2.2735211084202098E-2</v>
      </c>
      <c r="BD15" s="3">
        <v>0</v>
      </c>
      <c r="BE15" s="3">
        <v>0</v>
      </c>
      <c r="BF15" s="3">
        <v>0</v>
      </c>
      <c r="BG15" s="3">
        <v>4.6851903840472497E-2</v>
      </c>
      <c r="BH15" s="3">
        <v>4.3854071121961699E-2</v>
      </c>
      <c r="BI15" s="3">
        <v>5.0074687638332602E-2</v>
      </c>
      <c r="BJ15" s="3">
        <v>5.7389981947761397E-2</v>
      </c>
      <c r="BK15" s="3">
        <v>-4.41544874578958E-3</v>
      </c>
      <c r="BL15" s="3">
        <v>4.7135354222059399E-3</v>
      </c>
      <c r="BM15" s="3">
        <v>5.2974533201971798E-2</v>
      </c>
      <c r="BN15" s="3">
        <v>6.2103517369967297E-2</v>
      </c>
      <c r="BO15" s="3">
        <v>6.7770759783629102E-3</v>
      </c>
      <c r="BP15" s="3">
        <v>4.8868493716734398E-3</v>
      </c>
      <c r="BQ15" s="3">
        <v>9.1998364915978296E-3</v>
      </c>
      <c r="BR15" s="3">
        <v>0</v>
      </c>
      <c r="BS15" s="3">
        <v>0</v>
      </c>
      <c r="BT15" s="3">
        <v>0</v>
      </c>
      <c r="BU15" s="3">
        <v>3.7610021289259899E-3</v>
      </c>
      <c r="BV15" s="3">
        <v>3.0840217457193098E-3</v>
      </c>
      <c r="BW15" s="3">
        <v>4.4379825121326696E-3</v>
      </c>
      <c r="BX15" s="3">
        <v>1.0538078107288899E-2</v>
      </c>
      <c r="BY15" s="3">
        <v>7.9708711173927596E-3</v>
      </c>
      <c r="BZ15" s="3">
        <v>1.3637819003730499E-2</v>
      </c>
      <c r="CA15">
        <v>2.9610829103214899E-3</v>
      </c>
      <c r="CB15" s="3">
        <v>2.18490905245347E-3</v>
      </c>
      <c r="CC15">
        <v>0.94917940323280603</v>
      </c>
      <c r="CD15">
        <v>5371</v>
      </c>
      <c r="CE15">
        <v>7.8197728542170903E-3</v>
      </c>
      <c r="CF15" s="5">
        <v>2.71137724550898E-3</v>
      </c>
      <c r="CG15" s="5">
        <v>4.6367529324148199E-3</v>
      </c>
      <c r="CH15" s="13">
        <v>8.2644089798379401</v>
      </c>
      <c r="CI15" s="13">
        <v>7.6014322841307997</v>
      </c>
      <c r="CJ15" s="12">
        <v>9.1141662279212099</v>
      </c>
      <c r="CK15" s="13">
        <v>8.2644089798379401</v>
      </c>
      <c r="CL15" s="13">
        <v>7.6014322841307997</v>
      </c>
      <c r="CM15">
        <v>9.1141662279212099</v>
      </c>
      <c r="CN15">
        <v>11.8645112584909</v>
      </c>
      <c r="CO15">
        <v>11.389481404491701</v>
      </c>
      <c r="CP15">
        <v>12.373644193117199</v>
      </c>
      <c r="CQ15">
        <v>8.3956193187781505</v>
      </c>
      <c r="CR15">
        <v>7.0899647983388299</v>
      </c>
      <c r="CS15">
        <v>9.7845748699187407</v>
      </c>
      <c r="CT15">
        <v>1.8189226824839</v>
      </c>
      <c r="CU15">
        <v>1.2905822425550899</v>
      </c>
      <c r="CV15">
        <v>2.5020192502977001</v>
      </c>
      <c r="CW15">
        <v>0.26324361368939397</v>
      </c>
      <c r="CX15">
        <v>0.167373301698687</v>
      </c>
      <c r="CY15">
        <v>0.41561694921595399</v>
      </c>
      <c r="CZ15">
        <v>0.29482036922994698</v>
      </c>
      <c r="DA15">
        <v>0.137705845826568</v>
      </c>
      <c r="DB15">
        <v>0.87175457188398098</v>
      </c>
      <c r="DC15">
        <v>0</v>
      </c>
      <c r="DD15">
        <v>0</v>
      </c>
      <c r="DE15">
        <v>0</v>
      </c>
      <c r="DF15">
        <v>0.41057148194522403</v>
      </c>
      <c r="DG15">
        <v>0.41057148194522403</v>
      </c>
      <c r="DH15">
        <v>0.58942851805477603</v>
      </c>
      <c r="DI15">
        <v>0.18362123995975699</v>
      </c>
      <c r="DJ15">
        <v>0.11808669127415</v>
      </c>
      <c r="DK15">
        <v>16.432802440627199</v>
      </c>
      <c r="DL15">
        <v>1.47910305289248</v>
      </c>
      <c r="DM15">
        <v>6.5302414381253296E-2</v>
      </c>
      <c r="DN15">
        <v>2.4005541504687099E-2</v>
      </c>
      <c r="DO15">
        <v>0.9</v>
      </c>
      <c r="DP15">
        <v>17.326203208556102</v>
      </c>
      <c r="DQ15">
        <v>8.2130728017813404E-2</v>
      </c>
      <c r="DR15">
        <v>-7.6937061235909501E-2</v>
      </c>
      <c r="DS15" s="3">
        <v>0</v>
      </c>
      <c r="DT15" s="3">
        <v>0</v>
      </c>
      <c r="DU15" s="3">
        <v>3.1676155782263397E-2</v>
      </c>
      <c r="DV15" s="3">
        <v>3.0788602325186699E-2</v>
      </c>
      <c r="DW15" s="3">
        <v>3.2767488642478297E-2</v>
      </c>
      <c r="DX15" s="5">
        <v>1.8855842445038701E-2</v>
      </c>
      <c r="DY15" s="5">
        <v>1.9782788275775402E-2</v>
      </c>
      <c r="DZ15" s="5">
        <v>1.7928896614302001E-2</v>
      </c>
      <c r="EA15">
        <v>6.0186326533749099</v>
      </c>
      <c r="EB15">
        <v>5.0149387282949904</v>
      </c>
      <c r="EC15">
        <v>7.1317089893742702</v>
      </c>
      <c r="ED15">
        <v>2.3769866654032401</v>
      </c>
      <c r="EE15">
        <v>2.3769866654032401</v>
      </c>
      <c r="EF15">
        <v>2.3769866654032401</v>
      </c>
    </row>
    <row r="16" spans="1:136" x14ac:dyDescent="0.2">
      <c r="A16" t="s">
        <v>96</v>
      </c>
      <c r="B16">
        <v>3.4034496546727899</v>
      </c>
      <c r="C16">
        <v>3.15951239976628</v>
      </c>
      <c r="D16">
        <v>3.6500938394020999</v>
      </c>
      <c r="E16">
        <v>10.183699055161901</v>
      </c>
      <c r="F16">
        <v>8.8845658986718501</v>
      </c>
      <c r="G16">
        <v>11.6602315096043</v>
      </c>
      <c r="H16">
        <v>2.1418001852351498</v>
      </c>
      <c r="I16">
        <v>1.5970946943140401</v>
      </c>
      <c r="J16">
        <v>2.8464694256907102</v>
      </c>
      <c r="K16">
        <v>15.7289488950699</v>
      </c>
      <c r="L16">
        <v>14.0749427857698</v>
      </c>
      <c r="M16">
        <v>17.388204350282098</v>
      </c>
      <c r="N16">
        <v>1.71700871057007</v>
      </c>
      <c r="O16" s="20">
        <v>1.4159272751488601</v>
      </c>
      <c r="P16" s="20">
        <v>2.0538342259444602</v>
      </c>
      <c r="Q16" s="20">
        <v>1.9084621326150299</v>
      </c>
      <c r="R16">
        <v>2.2362655552728699</v>
      </c>
      <c r="S16" s="12">
        <v>21.590685293527802</v>
      </c>
      <c r="T16" s="6">
        <v>19.4856157090185</v>
      </c>
      <c r="U16" s="6">
        <v>23.748722375271001</v>
      </c>
      <c r="V16" s="7">
        <v>1000</v>
      </c>
      <c r="W16" s="21">
        <v>5.8147080462175503E-2</v>
      </c>
      <c r="X16" s="21">
        <v>6.5248198687447001</v>
      </c>
      <c r="Y16">
        <v>45.47</v>
      </c>
      <c r="Z16">
        <v>651.16169270855596</v>
      </c>
      <c r="AA16">
        <v>7399</v>
      </c>
      <c r="AB16">
        <v>13711</v>
      </c>
      <c r="AC16" s="6">
        <v>1.62246508803886</v>
      </c>
      <c r="AD16">
        <v>80</v>
      </c>
      <c r="AE16">
        <v>79.965000000000003</v>
      </c>
      <c r="AF16">
        <v>49</v>
      </c>
      <c r="AG16">
        <v>40.003</v>
      </c>
      <c r="AH16">
        <v>49</v>
      </c>
      <c r="AI16" s="4">
        <v>23</v>
      </c>
      <c r="AJ16" s="4">
        <v>20.183</v>
      </c>
      <c r="AK16" s="4">
        <v>5.6397152099456704</v>
      </c>
      <c r="AL16" s="6" t="s">
        <v>32</v>
      </c>
      <c r="AM16" s="11" t="s">
        <v>31</v>
      </c>
      <c r="AN16" s="12">
        <v>20230824</v>
      </c>
      <c r="AO16" s="12" t="s">
        <v>32</v>
      </c>
      <c r="AP16" s="12">
        <v>8450</v>
      </c>
      <c r="AQ16">
        <v>1.8530701754386001</v>
      </c>
      <c r="AR16">
        <v>0.73460531608082003</v>
      </c>
      <c r="AS16">
        <v>4.2715154422093303E-2</v>
      </c>
      <c r="AT16" s="12">
        <v>1.83877213549551E-3</v>
      </c>
      <c r="AU16" s="2">
        <v>0.21742682390579601</v>
      </c>
      <c r="AV16" s="2">
        <v>0.64661131657472903</v>
      </c>
      <c r="AW16" s="2">
        <v>0.13596185951947601</v>
      </c>
      <c r="AX16" s="3">
        <v>5.2267350686983497E-3</v>
      </c>
      <c r="AY16" s="3">
        <v>4.7167761143344297E-3</v>
      </c>
      <c r="AZ16" s="3">
        <v>5.7423529499961799E-3</v>
      </c>
      <c r="BA16" s="3">
        <v>1.56392784913407E-2</v>
      </c>
      <c r="BB16" s="3">
        <v>1.29233973672496E-2</v>
      </c>
      <c r="BC16" s="3">
        <v>1.8726018755104198E-2</v>
      </c>
      <c r="BD16" s="3">
        <v>3.2891986878499698E-3</v>
      </c>
      <c r="BE16" s="3">
        <v>2.1504737206739601E-3</v>
      </c>
      <c r="BF16" s="3">
        <v>4.7623332001362102E-3</v>
      </c>
      <c r="BG16" s="3">
        <v>2.4155212247889E-2</v>
      </c>
      <c r="BH16" s="3">
        <v>2.16151271540929E-2</v>
      </c>
      <c r="BI16" s="3">
        <v>2.67033588507865E-2</v>
      </c>
      <c r="BJ16" s="3">
        <v>3.3157179753188097E-2</v>
      </c>
      <c r="BK16" s="3">
        <v>-3.2327908844777299E-3</v>
      </c>
      <c r="BL16" s="3">
        <v>3.3141339638188601E-3</v>
      </c>
      <c r="BM16" s="3">
        <v>2.9924388868710398E-2</v>
      </c>
      <c r="BN16" s="3">
        <v>3.6471313717007001E-2</v>
      </c>
      <c r="BO16" s="3">
        <v>2.6368392517502701E-3</v>
      </c>
      <c r="BP16" s="3">
        <v>2.1744634105535401E-3</v>
      </c>
      <c r="BQ16" s="3">
        <v>3.15410787972091E-3</v>
      </c>
      <c r="BR16" s="3">
        <v>2.9308575028064599E-3</v>
      </c>
      <c r="BS16" s="3">
        <v>2.2939768906808399E-3</v>
      </c>
      <c r="BT16" s="3">
        <v>3.59999116482016E-3</v>
      </c>
      <c r="BU16" s="3">
        <v>3.4342707507423499E-3</v>
      </c>
      <c r="BV16" s="3">
        <v>2.81610201560873E-3</v>
      </c>
      <c r="BW16" s="3">
        <v>4.0524394858759798E-3</v>
      </c>
      <c r="BX16" s="3">
        <v>9.00196750529908E-3</v>
      </c>
      <c r="BY16" s="3">
        <v>7.49850680341953E-3</v>
      </c>
      <c r="BZ16" s="3">
        <v>1.05284424788186E-2</v>
      </c>
      <c r="CA16">
        <v>9.4674556213017805E-3</v>
      </c>
      <c r="CB16" s="3">
        <v>9.4633136094674601E-3</v>
      </c>
      <c r="CC16">
        <v>0.97212897152712796</v>
      </c>
      <c r="CD16">
        <v>4560</v>
      </c>
      <c r="CE16">
        <v>1.0745614035087701E-2</v>
      </c>
      <c r="CF16" s="5">
        <v>5.4065414245168296E-3</v>
      </c>
      <c r="CG16" s="5">
        <v>8.7725877192982495E-3</v>
      </c>
      <c r="CH16" s="13">
        <v>11.900707765731999</v>
      </c>
      <c r="CI16" s="13">
        <v>11.5996263303108</v>
      </c>
      <c r="CJ16" s="12">
        <v>12.237533281106399</v>
      </c>
      <c r="CK16" s="13">
        <v>13.809169898346999</v>
      </c>
      <c r="CL16" s="13">
        <v>13.0933762054808</v>
      </c>
      <c r="CM16">
        <v>14.5817096217265</v>
      </c>
      <c r="CN16">
        <v>5.6397152099456704</v>
      </c>
      <c r="CO16">
        <v>4.9932501550900401</v>
      </c>
      <c r="CP16">
        <v>6.2888871946240901</v>
      </c>
      <c r="CQ16">
        <v>11.939515713221899</v>
      </c>
      <c r="CR16">
        <v>10.629987492649599</v>
      </c>
      <c r="CS16">
        <v>13.4393757710043</v>
      </c>
      <c r="CT16">
        <v>0.68449679943673702</v>
      </c>
      <c r="CU16">
        <v>0.54572854824237105</v>
      </c>
      <c r="CV16">
        <v>0.83383950946053798</v>
      </c>
      <c r="CW16">
        <v>0.63410840825706105</v>
      </c>
      <c r="CX16">
        <v>0.43887575878541901</v>
      </c>
      <c r="CY16">
        <v>0.88613161970009302</v>
      </c>
      <c r="CZ16">
        <v>0.39840350287626702</v>
      </c>
      <c r="DA16">
        <v>0.234854601031457</v>
      </c>
      <c r="DB16">
        <v>0.56404918965068795</v>
      </c>
      <c r="DC16" t="s">
        <v>60</v>
      </c>
      <c r="DD16" t="s">
        <v>60</v>
      </c>
      <c r="DE16" t="s">
        <v>60</v>
      </c>
      <c r="DF16">
        <v>0.55119575697216106</v>
      </c>
      <c r="DG16">
        <v>0.63958900730460899</v>
      </c>
      <c r="DH16">
        <v>0.26121158329189498</v>
      </c>
      <c r="DI16">
        <v>0.271494836233584</v>
      </c>
      <c r="DJ16">
        <v>7.9525768235117603E-2</v>
      </c>
      <c r="DK16">
        <v>15.7289488950699</v>
      </c>
      <c r="DL16">
        <v>4.4927115511787701</v>
      </c>
      <c r="DM16">
        <v>0.142798616822052</v>
      </c>
      <c r="DN16">
        <v>1.06611193281389E-2</v>
      </c>
      <c r="DO16">
        <v>0.9</v>
      </c>
      <c r="DP16">
        <v>17.326203208556102</v>
      </c>
      <c r="DQ16">
        <v>9.9940368091450696E-2</v>
      </c>
      <c r="DR16">
        <v>-9.7493756018972505E-2</v>
      </c>
      <c r="DS16" s="3">
        <v>9.9199409403496003E-2</v>
      </c>
      <c r="DT16" s="3">
        <v>8.8393250332448201E-2</v>
      </c>
      <c r="DU16" s="3">
        <v>5.3765721199395397E-3</v>
      </c>
      <c r="DV16" s="3">
        <v>5.0505173597281596E-3</v>
      </c>
      <c r="DW16" s="3">
        <v>5.7366467760432104E-3</v>
      </c>
      <c r="DX16" s="5">
        <v>5.9587925946185498E-3</v>
      </c>
      <c r="DY16" s="5">
        <v>6.80521140665222E-3</v>
      </c>
      <c r="DZ16" s="5">
        <v>5.1123737825848796E-3</v>
      </c>
      <c r="EA16">
        <v>10.222507002651801</v>
      </c>
      <c r="EB16">
        <v>8.9262012044555092</v>
      </c>
      <c r="EC16">
        <v>11.698712627182701</v>
      </c>
      <c r="ED16">
        <v>1.71700871057007</v>
      </c>
      <c r="EE16">
        <v>1.71700871057007</v>
      </c>
      <c r="EF16">
        <v>1.71700871057007</v>
      </c>
    </row>
    <row r="17" spans="1:136" x14ac:dyDescent="0.2">
      <c r="A17" t="s">
        <v>97</v>
      </c>
      <c r="B17">
        <v>22.063707846664599</v>
      </c>
      <c r="C17">
        <v>21.673410441357099</v>
      </c>
      <c r="D17">
        <v>22.526621911748101</v>
      </c>
      <c r="E17">
        <v>104.299909725311</v>
      </c>
      <c r="F17">
        <v>99.333127449510897</v>
      </c>
      <c r="G17">
        <v>109.63601960314899</v>
      </c>
      <c r="H17">
        <v>0</v>
      </c>
      <c r="I17">
        <v>0</v>
      </c>
      <c r="J17">
        <v>0</v>
      </c>
      <c r="K17">
        <v>126.36361757197599</v>
      </c>
      <c r="L17">
        <v>121.411448371156</v>
      </c>
      <c r="M17">
        <v>131.69005844853899</v>
      </c>
      <c r="N17">
        <v>75.482502643086505</v>
      </c>
      <c r="O17" s="20">
        <v>68.900213159811997</v>
      </c>
      <c r="P17" s="20">
        <v>83.4953373408121</v>
      </c>
      <c r="Q17" s="20">
        <v>0</v>
      </c>
      <c r="R17">
        <v>17.294910308613101</v>
      </c>
      <c r="S17" s="12">
        <v>219.14103052367599</v>
      </c>
      <c r="T17" s="6">
        <v>207.58202167638899</v>
      </c>
      <c r="U17" s="6">
        <v>231.72463788411201</v>
      </c>
      <c r="V17" s="7">
        <v>1000</v>
      </c>
      <c r="W17" s="21">
        <v>6.6136434572973093E-2</v>
      </c>
      <c r="X17" s="21">
        <v>16.353133799999998</v>
      </c>
      <c r="Y17" s="8">
        <v>57.667999999999999</v>
      </c>
      <c r="Z17" s="7">
        <v>4755.8021327807501</v>
      </c>
      <c r="AA17" s="7">
        <v>17164</v>
      </c>
      <c r="AB17" s="7">
        <v>152653</v>
      </c>
      <c r="AC17" s="6">
        <v>1.82507693639206</v>
      </c>
      <c r="AD17">
        <v>1052</v>
      </c>
      <c r="AE17">
        <v>998.61300000000006</v>
      </c>
      <c r="AF17">
        <v>540</v>
      </c>
      <c r="AG17">
        <v>166.91800000000001</v>
      </c>
      <c r="AH17">
        <v>681</v>
      </c>
      <c r="AI17" s="4">
        <v>278</v>
      </c>
      <c r="AJ17" s="4">
        <v>101.691</v>
      </c>
      <c r="AK17" s="4">
        <v>39.358618155277803</v>
      </c>
      <c r="AL17" s="6" t="s">
        <v>32</v>
      </c>
      <c r="AM17" s="11" t="s">
        <v>31</v>
      </c>
      <c r="AN17" s="12">
        <v>20230824</v>
      </c>
      <c r="AO17" s="12" t="s">
        <v>32</v>
      </c>
      <c r="AP17" s="12">
        <v>83641</v>
      </c>
      <c r="AQ17">
        <v>8.8941939600170201</v>
      </c>
      <c r="AR17">
        <v>0.33531015156350102</v>
      </c>
      <c r="AS17">
        <v>2.2176217900533202E-2</v>
      </c>
      <c r="AT17" s="12">
        <v>2.0914176957329998E-3</v>
      </c>
      <c r="AU17" s="2">
        <v>0.175351529351433</v>
      </c>
      <c r="AV17" s="2">
        <v>0.82464847064856694</v>
      </c>
      <c r="AW17" s="2">
        <v>0</v>
      </c>
      <c r="AX17" s="3">
        <v>4.6393241835239801E-3</v>
      </c>
      <c r="AY17" s="3">
        <v>4.3945727834378704E-3</v>
      </c>
      <c r="AZ17" s="3">
        <v>4.9296127276137504E-3</v>
      </c>
      <c r="BA17" s="3">
        <v>2.1931086873104699E-2</v>
      </c>
      <c r="BB17" s="3">
        <v>1.8816469918458801E-2</v>
      </c>
      <c r="BC17" s="3">
        <v>2.5277305284639499E-2</v>
      </c>
      <c r="BD17" s="3">
        <v>0</v>
      </c>
      <c r="BE17" s="3">
        <v>0</v>
      </c>
      <c r="BF17" s="3">
        <v>0</v>
      </c>
      <c r="BG17" s="3">
        <v>2.65704110566287E-2</v>
      </c>
      <c r="BH17" s="3">
        <v>2.5529121057054099E-2</v>
      </c>
      <c r="BI17" s="3">
        <v>2.76903989635791E-2</v>
      </c>
      <c r="BJ17" s="3">
        <v>4.6078668625252998E-2</v>
      </c>
      <c r="BK17" s="3">
        <v>-2.43050667890764E-3</v>
      </c>
      <c r="BL17" s="3">
        <v>2.6459484665478099E-3</v>
      </c>
      <c r="BM17" s="3">
        <v>4.3648161946345403E-2</v>
      </c>
      <c r="BN17" s="3">
        <v>4.8724617091800801E-2</v>
      </c>
      <c r="BO17" s="3">
        <v>1.5871665922095799E-2</v>
      </c>
      <c r="BP17" s="3">
        <v>1.44876113925971E-2</v>
      </c>
      <c r="BQ17" s="3">
        <v>1.7556520437487601E-2</v>
      </c>
      <c r="BR17" s="3">
        <v>0</v>
      </c>
      <c r="BS17" s="3">
        <v>0</v>
      </c>
      <c r="BT17" s="3">
        <v>0</v>
      </c>
      <c r="BU17" s="3">
        <v>3.6365916465285501E-3</v>
      </c>
      <c r="BV17" s="3">
        <v>2.9820051501534099E-3</v>
      </c>
      <c r="BW17" s="3">
        <v>4.2911781429036903E-3</v>
      </c>
      <c r="BX17" s="3">
        <v>1.9508257568624301E-2</v>
      </c>
      <c r="BY17" s="3">
        <v>1.7469616542750501E-2</v>
      </c>
      <c r="BZ17" s="3">
        <v>2.1847698580391199E-2</v>
      </c>
      <c r="CA17">
        <v>1.2577563635059401E-2</v>
      </c>
      <c r="CB17" s="3">
        <v>1.1939276192298001E-2</v>
      </c>
      <c r="CC17">
        <v>0.77560142259357101</v>
      </c>
      <c r="CD17">
        <v>9404</v>
      </c>
      <c r="CE17">
        <v>5.7422373458102902E-2</v>
      </c>
      <c r="CF17" s="5">
        <v>9.7248893031927301E-3</v>
      </c>
      <c r="CG17" s="5">
        <v>1.77496809868141E-2</v>
      </c>
      <c r="CH17" s="13">
        <v>179.78241236839801</v>
      </c>
      <c r="CI17" s="13">
        <v>173.20012288512299</v>
      </c>
      <c r="CJ17" s="12">
        <v>187.79524706612401</v>
      </c>
      <c r="CK17" s="13">
        <v>179.78241236839801</v>
      </c>
      <c r="CL17" s="13">
        <v>173.20012288512299</v>
      </c>
      <c r="CM17">
        <v>187.79524706612401</v>
      </c>
      <c r="CN17">
        <v>39.358618155277803</v>
      </c>
      <c r="CO17">
        <v>35.855236894419903</v>
      </c>
      <c r="CP17">
        <v>42.934616075911599</v>
      </c>
      <c r="CQ17">
        <v>179.84924830707499</v>
      </c>
      <c r="CR17">
        <v>171.42086550782901</v>
      </c>
      <c r="CS17">
        <v>189.22673446998201</v>
      </c>
      <c r="CT17">
        <v>22.387645963673499</v>
      </c>
      <c r="CU17">
        <v>20.223010674458401</v>
      </c>
      <c r="CV17">
        <v>25.202305859052501</v>
      </c>
      <c r="CW17">
        <v>34.851298120207701</v>
      </c>
      <c r="CX17">
        <v>31.256957949278501</v>
      </c>
      <c r="CY17">
        <v>39.188832628117503</v>
      </c>
      <c r="CZ17">
        <v>18.243558559205301</v>
      </c>
      <c r="DA17">
        <v>13.5848623060169</v>
      </c>
      <c r="DB17">
        <v>24.827197293356502</v>
      </c>
      <c r="DC17">
        <v>0</v>
      </c>
      <c r="DD17">
        <v>0</v>
      </c>
      <c r="DE17">
        <v>0</v>
      </c>
      <c r="DF17">
        <v>0.82039574523595704</v>
      </c>
      <c r="DG17">
        <v>0.82039574523595704</v>
      </c>
      <c r="DH17">
        <v>0.17960425476404299</v>
      </c>
      <c r="DI17">
        <v>0.42336889617308998</v>
      </c>
      <c r="DJ17">
        <v>0.34444733087798401</v>
      </c>
      <c r="DK17">
        <v>126.36361757197599</v>
      </c>
      <c r="DL17">
        <v>4.4420488228171697</v>
      </c>
      <c r="DM17">
        <v>0.50572119659514603</v>
      </c>
      <c r="DN17">
        <v>1.14918517480515E-2</v>
      </c>
      <c r="DO17">
        <v>0.9</v>
      </c>
      <c r="DP17">
        <v>17.326203208556102</v>
      </c>
      <c r="DQ17">
        <v>5.7418444032753001E-2</v>
      </c>
      <c r="DR17">
        <v>-5.2746749695901901E-2</v>
      </c>
      <c r="DS17" s="3">
        <v>0</v>
      </c>
      <c r="DT17" s="3">
        <v>0</v>
      </c>
      <c r="DU17" s="3">
        <v>5.9816050168662697E-3</v>
      </c>
      <c r="DV17" s="3">
        <v>5.8340388890873304E-3</v>
      </c>
      <c r="DW17" s="3">
        <v>6.1619239001542399E-3</v>
      </c>
      <c r="DX17" s="5">
        <v>5.9587925946185498E-3</v>
      </c>
      <c r="DY17" s="5">
        <v>6.80521140665222E-3</v>
      </c>
      <c r="DZ17" s="5">
        <v>5.1123737825848796E-3</v>
      </c>
      <c r="EA17">
        <v>104.36674566398899</v>
      </c>
      <c r="EB17">
        <v>99.410519384046296</v>
      </c>
      <c r="EC17">
        <v>109.705990686665</v>
      </c>
      <c r="ED17">
        <v>75.482502643086505</v>
      </c>
      <c r="EE17">
        <v>75.482502643086505</v>
      </c>
      <c r="EF17">
        <v>75.482502643086505</v>
      </c>
    </row>
    <row r="18" spans="1:136" x14ac:dyDescent="0.2">
      <c r="A18" t="s">
        <v>98</v>
      </c>
      <c r="B18">
        <v>13.6121175755039</v>
      </c>
      <c r="C18">
        <v>13.358690143075799</v>
      </c>
      <c r="D18">
        <v>13.8766758295865</v>
      </c>
      <c r="E18">
        <v>58.052120282644303</v>
      </c>
      <c r="F18">
        <v>54.670143354480999</v>
      </c>
      <c r="G18">
        <v>62.1438973346431</v>
      </c>
      <c r="H18">
        <v>0</v>
      </c>
      <c r="I18">
        <v>0</v>
      </c>
      <c r="J18">
        <v>0</v>
      </c>
      <c r="K18">
        <v>71.664237858148098</v>
      </c>
      <c r="L18">
        <v>68.315502473597704</v>
      </c>
      <c r="M18">
        <v>75.750912368156506</v>
      </c>
      <c r="N18">
        <v>37.324333615558103</v>
      </c>
      <c r="O18" s="20">
        <v>34.304423462603999</v>
      </c>
      <c r="P18" s="20">
        <v>41.369953744114397</v>
      </c>
      <c r="Q18" s="20">
        <v>0</v>
      </c>
      <c r="R18">
        <v>13.139792955001001</v>
      </c>
      <c r="S18" s="12">
        <v>122.128364428707</v>
      </c>
      <c r="T18">
        <v>115.148151809233</v>
      </c>
      <c r="U18" s="6">
        <v>130.04751146263399</v>
      </c>
      <c r="V18" s="7">
        <v>1000</v>
      </c>
      <c r="W18" s="21">
        <v>7.9974416779285198E-2</v>
      </c>
      <c r="X18" s="21">
        <v>16.353133799999998</v>
      </c>
      <c r="Y18">
        <v>53.091000000000001</v>
      </c>
      <c r="Z18">
        <v>3613.2165038502699</v>
      </c>
      <c r="AA18">
        <v>7955</v>
      </c>
      <c r="AB18">
        <v>100870</v>
      </c>
      <c r="AC18" s="6">
        <v>1.82507693639206</v>
      </c>
      <c r="AD18">
        <v>922</v>
      </c>
      <c r="AE18">
        <v>875.85199999999998</v>
      </c>
      <c r="AF18">
        <v>447</v>
      </c>
      <c r="AG18">
        <v>117.84</v>
      </c>
      <c r="AH18">
        <v>558</v>
      </c>
      <c r="AI18" s="4">
        <v>202</v>
      </c>
      <c r="AJ18" s="4">
        <v>64.355999999999995</v>
      </c>
      <c r="AK18" s="4">
        <v>26.751910530504901</v>
      </c>
      <c r="AL18" s="6" t="s">
        <v>32</v>
      </c>
      <c r="AM18" s="11" t="s">
        <v>31</v>
      </c>
      <c r="AN18" s="12">
        <v>20230824</v>
      </c>
      <c r="AO18" s="12" t="s">
        <v>32</v>
      </c>
      <c r="AP18" s="12">
        <v>55268</v>
      </c>
      <c r="AQ18">
        <v>12.681964203763201</v>
      </c>
      <c r="AR18">
        <v>0.28080622975595598</v>
      </c>
      <c r="AS18">
        <v>2.2457314452722501E-2</v>
      </c>
      <c r="AT18" s="12">
        <v>2.5290131156612901E-3</v>
      </c>
      <c r="AU18" s="2">
        <v>0.19169823621926299</v>
      </c>
      <c r="AV18" s="2">
        <v>0.80830176378073704</v>
      </c>
      <c r="AW18" s="2">
        <v>0</v>
      </c>
      <c r="AX18" s="3">
        <v>3.7673130190230002E-3</v>
      </c>
      <c r="AY18" s="3">
        <v>3.5175357574954301E-3</v>
      </c>
      <c r="AZ18" s="3">
        <v>4.0280607825392096E-3</v>
      </c>
      <c r="BA18" s="3">
        <v>1.6066604428708799E-2</v>
      </c>
      <c r="BB18" s="3">
        <v>1.27333388561042E-2</v>
      </c>
      <c r="BC18" s="3">
        <v>2.0099446718265201E-2</v>
      </c>
      <c r="BD18" s="3">
        <v>0</v>
      </c>
      <c r="BE18" s="3">
        <v>0</v>
      </c>
      <c r="BF18" s="3">
        <v>0</v>
      </c>
      <c r="BG18" s="3">
        <v>1.9833917447731799E-2</v>
      </c>
      <c r="BH18" s="3">
        <v>1.8907115696167199E-2</v>
      </c>
      <c r="BI18" s="3">
        <v>2.09649524979851E-2</v>
      </c>
      <c r="BJ18" s="3">
        <v>3.38004557154453E-2</v>
      </c>
      <c r="BK18" s="3">
        <v>-1.9318556228325599E-3</v>
      </c>
      <c r="BL18" s="3">
        <v>2.1917167226176101E-3</v>
      </c>
      <c r="BM18" s="3">
        <v>3.1868600092612803E-2</v>
      </c>
      <c r="BN18" s="3">
        <v>3.5992172438062998E-2</v>
      </c>
      <c r="BO18" s="3">
        <v>1.0329946621185001E-2</v>
      </c>
      <c r="BP18" s="3">
        <v>9.4941511049916397E-3</v>
      </c>
      <c r="BQ18" s="3">
        <v>1.1449619390376999E-2</v>
      </c>
      <c r="BR18" s="3">
        <v>0</v>
      </c>
      <c r="BS18" s="3">
        <v>0</v>
      </c>
      <c r="BT18" s="3">
        <v>0</v>
      </c>
      <c r="BU18" s="3">
        <v>3.6365916465285501E-3</v>
      </c>
      <c r="BV18" s="3">
        <v>2.9820051501534099E-3</v>
      </c>
      <c r="BW18" s="3">
        <v>4.2911781429036903E-3</v>
      </c>
      <c r="BX18" s="3">
        <v>1.39665382677136E-2</v>
      </c>
      <c r="BY18" s="3">
        <v>1.24761562551451E-2</v>
      </c>
      <c r="BZ18" s="3">
        <v>1.5740797533280702E-2</v>
      </c>
      <c r="CA18">
        <v>1.6682347832380401E-2</v>
      </c>
      <c r="CB18" s="3">
        <v>1.5847361945429499E-2</v>
      </c>
      <c r="CC18">
        <v>0.726671040825836</v>
      </c>
      <c r="CD18">
        <v>4358</v>
      </c>
      <c r="CE18">
        <v>0.102569986232217</v>
      </c>
      <c r="CF18" s="5">
        <v>1.4813324952859801E-2</v>
      </c>
      <c r="CG18" s="5">
        <v>2.7039926571821901E-2</v>
      </c>
      <c r="CH18" s="13">
        <v>95.376453898202399</v>
      </c>
      <c r="CI18" s="13">
        <v>92.356543745248302</v>
      </c>
      <c r="CJ18" s="12">
        <v>99.422074026758693</v>
      </c>
      <c r="CK18" s="13">
        <v>95.376453898202399</v>
      </c>
      <c r="CL18" s="13">
        <v>92.356543745248302</v>
      </c>
      <c r="CM18">
        <v>99.422074026758693</v>
      </c>
      <c r="CN18">
        <v>26.751910530504901</v>
      </c>
      <c r="CO18">
        <v>24.133320366176601</v>
      </c>
      <c r="CP18">
        <v>29.381631516487701</v>
      </c>
      <c r="CQ18">
        <v>95.437567701632801</v>
      </c>
      <c r="CR18">
        <v>90.840696607164503</v>
      </c>
      <c r="CS18">
        <v>100.97903218498401</v>
      </c>
      <c r="CT18">
        <v>9.4905618948658308</v>
      </c>
      <c r="CU18">
        <v>7.9426943390222897</v>
      </c>
      <c r="CV18">
        <v>11.4958230869739</v>
      </c>
      <c r="CW18">
        <v>24.203649323134101</v>
      </c>
      <c r="CX18">
        <v>22.178392496589399</v>
      </c>
      <c r="CY18">
        <v>26.6332758327496</v>
      </c>
      <c r="CZ18">
        <v>3.6301223975582002</v>
      </c>
      <c r="DA18">
        <v>2.7325727168529199</v>
      </c>
      <c r="DB18">
        <v>6.90632091360186</v>
      </c>
      <c r="DC18">
        <v>0</v>
      </c>
      <c r="DD18">
        <v>0</v>
      </c>
      <c r="DE18">
        <v>0</v>
      </c>
      <c r="DF18">
        <v>0.78095083059713499</v>
      </c>
      <c r="DG18">
        <v>0.78095083059713499</v>
      </c>
      <c r="DH18">
        <v>0.21904916940286501</v>
      </c>
      <c r="DI18">
        <v>0.41320631990611101</v>
      </c>
      <c r="DJ18">
        <v>0.30561554175394201</v>
      </c>
      <c r="DK18">
        <v>71.664237858148098</v>
      </c>
      <c r="DL18">
        <v>3.82573894599579</v>
      </c>
      <c r="DM18">
        <v>0.82909970258152099</v>
      </c>
      <c r="DN18">
        <v>1.14918517480515E-2</v>
      </c>
      <c r="DO18">
        <v>0.9</v>
      </c>
      <c r="DP18">
        <v>17.326203208556102</v>
      </c>
      <c r="DQ18">
        <v>6.4836876305590999E-2</v>
      </c>
      <c r="DR18">
        <v>-5.7151066725079497E-2</v>
      </c>
      <c r="DS18" s="3">
        <v>0</v>
      </c>
      <c r="DT18" s="3">
        <v>0</v>
      </c>
      <c r="DU18" s="3">
        <v>5.1844046633267599E-3</v>
      </c>
      <c r="DV18" s="3">
        <v>5.043952701353E-3</v>
      </c>
      <c r="DW18" s="3">
        <v>5.3523063191535797E-3</v>
      </c>
      <c r="DX18" s="5">
        <v>5.9587925946185498E-3</v>
      </c>
      <c r="DY18" s="5">
        <v>6.80521140665222E-3</v>
      </c>
      <c r="DZ18" s="5">
        <v>5.1123737825848796E-3</v>
      </c>
      <c r="EA18">
        <v>58.113234086074698</v>
      </c>
      <c r="EB18">
        <v>54.737798270345401</v>
      </c>
      <c r="EC18">
        <v>62.205218164124503</v>
      </c>
      <c r="ED18">
        <v>37.324333615558103</v>
      </c>
      <c r="EE18">
        <v>37.324333615558103</v>
      </c>
      <c r="EF18">
        <v>37.324333615558103</v>
      </c>
    </row>
    <row r="19" spans="1:136" x14ac:dyDescent="0.2">
      <c r="A19" t="s">
        <v>99</v>
      </c>
      <c r="B19">
        <v>8.9299513632929592</v>
      </c>
      <c r="C19">
        <v>8.5840590922681894</v>
      </c>
      <c r="D19">
        <v>9.3224771718622303</v>
      </c>
      <c r="E19">
        <v>46.308109220769303</v>
      </c>
      <c r="F19">
        <v>42.9040672294811</v>
      </c>
      <c r="G19">
        <v>50.278546861983699</v>
      </c>
      <c r="H19">
        <v>0</v>
      </c>
      <c r="I19">
        <v>0</v>
      </c>
      <c r="J19">
        <v>0</v>
      </c>
      <c r="K19">
        <v>55.238060584062197</v>
      </c>
      <c r="L19">
        <v>51.803918862436397</v>
      </c>
      <c r="M19">
        <v>59.165305435888897</v>
      </c>
      <c r="N19">
        <v>38.287788676949503</v>
      </c>
      <c r="O19" s="20">
        <v>31.6091495141069</v>
      </c>
      <c r="P19" s="20">
        <v>46.756877650362803</v>
      </c>
      <c r="Q19" s="20">
        <v>0</v>
      </c>
      <c r="R19">
        <v>4.1551173562375103</v>
      </c>
      <c r="S19" s="12">
        <v>97.680966617249297</v>
      </c>
      <c r="T19">
        <v>89.032106480152095</v>
      </c>
      <c r="U19" s="6">
        <v>107.275919161121</v>
      </c>
      <c r="V19" s="7">
        <v>1000</v>
      </c>
      <c r="W19" s="21">
        <v>0.10623786205108</v>
      </c>
      <c r="X19" s="21">
        <v>16.353133799999998</v>
      </c>
      <c r="Y19">
        <v>110.343</v>
      </c>
      <c r="Z19">
        <v>1142.58562965241</v>
      </c>
      <c r="AA19">
        <v>9209</v>
      </c>
      <c r="AB19">
        <v>51783</v>
      </c>
      <c r="AC19" s="6">
        <v>1.82507693639206</v>
      </c>
      <c r="AD19">
        <v>130</v>
      </c>
      <c r="AE19">
        <v>124.303</v>
      </c>
      <c r="AF19">
        <v>93</v>
      </c>
      <c r="AG19">
        <v>49.073</v>
      </c>
      <c r="AH19">
        <v>123</v>
      </c>
      <c r="AI19" s="4">
        <v>76</v>
      </c>
      <c r="AJ19" s="4">
        <v>37.304000000000002</v>
      </c>
      <c r="AK19" s="4">
        <v>13.085068719530501</v>
      </c>
      <c r="AL19" s="6" t="s">
        <v>32</v>
      </c>
      <c r="AM19" s="11" t="s">
        <v>31</v>
      </c>
      <c r="AN19" s="12">
        <v>20230824</v>
      </c>
      <c r="AO19" s="12" t="s">
        <v>32</v>
      </c>
      <c r="AP19" s="12">
        <v>28373</v>
      </c>
      <c r="AQ19">
        <v>5.6239841427155604</v>
      </c>
      <c r="AR19">
        <v>0.42167509967254901</v>
      </c>
      <c r="AS19">
        <v>4.4797861069387698E-2</v>
      </c>
      <c r="AT19" s="12">
        <v>3.3595361782818001E-3</v>
      </c>
      <c r="AU19" s="2">
        <v>0.162717943253296</v>
      </c>
      <c r="AV19" s="2">
        <v>0.83728205674670397</v>
      </c>
      <c r="AW19" s="2">
        <v>0</v>
      </c>
      <c r="AX19" s="3">
        <v>7.8155642181580807E-3</v>
      </c>
      <c r="AY19" s="3">
        <v>7.0976473726563401E-3</v>
      </c>
      <c r="AZ19" s="3">
        <v>8.6302713217055894E-3</v>
      </c>
      <c r="BA19" s="3">
        <v>4.0529224260291999E-2</v>
      </c>
      <c r="BB19" s="3">
        <v>3.3463963504101198E-2</v>
      </c>
      <c r="BC19" s="3">
        <v>4.8770067740827101E-2</v>
      </c>
      <c r="BD19" s="3">
        <v>0</v>
      </c>
      <c r="BE19" s="3">
        <v>0</v>
      </c>
      <c r="BF19" s="3">
        <v>0</v>
      </c>
      <c r="BG19" s="3">
        <v>4.8344788478450001E-2</v>
      </c>
      <c r="BH19" s="3">
        <v>4.5339200422287902E-2</v>
      </c>
      <c r="BI19" s="3">
        <v>5.1781944302842303E-2</v>
      </c>
      <c r="BJ19" s="3">
        <v>8.5491156270681906E-2</v>
      </c>
      <c r="BK19" s="3">
        <v>-7.5695509488669802E-3</v>
      </c>
      <c r="BL19" s="3">
        <v>8.3975785226626295E-3</v>
      </c>
      <c r="BM19" s="3">
        <v>7.7921605321814899E-2</v>
      </c>
      <c r="BN19" s="3">
        <v>9.3888734793344503E-2</v>
      </c>
      <c r="BO19" s="3">
        <v>3.3509776145703302E-2</v>
      </c>
      <c r="BP19" s="3">
        <v>2.7664578210845302E-2</v>
      </c>
      <c r="BQ19" s="3">
        <v>4.0921989947122803E-2</v>
      </c>
      <c r="BR19" s="3">
        <v>0</v>
      </c>
      <c r="BS19" s="3">
        <v>0</v>
      </c>
      <c r="BT19" s="3">
        <v>0</v>
      </c>
      <c r="BU19" s="3">
        <v>3.6365916465285501E-3</v>
      </c>
      <c r="BV19" s="3">
        <v>2.9820051501534099E-3</v>
      </c>
      <c r="BW19" s="3">
        <v>4.2911781429036903E-3</v>
      </c>
      <c r="BX19" s="3">
        <v>3.7146367792231801E-2</v>
      </c>
      <c r="BY19" s="3">
        <v>3.0646583360998701E-2</v>
      </c>
      <c r="BZ19" s="3">
        <v>4.5213168090026498E-2</v>
      </c>
      <c r="CA19">
        <v>4.5818207450745397E-3</v>
      </c>
      <c r="CB19" s="3">
        <v>4.3810312621153898E-3</v>
      </c>
      <c r="CC19">
        <v>0.92101672775289201</v>
      </c>
      <c r="CD19">
        <v>5045</v>
      </c>
      <c r="CE19">
        <v>1.8434093161546102E-2</v>
      </c>
      <c r="CF19" s="5">
        <v>5.3288087740254097E-3</v>
      </c>
      <c r="CG19" s="5">
        <v>9.7270564915758195E-3</v>
      </c>
      <c r="CH19" s="13">
        <v>84.5958978977188</v>
      </c>
      <c r="CI19" s="13">
        <v>77.9172587348761</v>
      </c>
      <c r="CJ19" s="12">
        <v>93.064986871132106</v>
      </c>
      <c r="CK19" s="13">
        <v>84.5958978977188</v>
      </c>
      <c r="CL19" s="13">
        <v>77.9172587348761</v>
      </c>
      <c r="CM19">
        <v>93.064986871132106</v>
      </c>
      <c r="CN19">
        <v>13.085068719530501</v>
      </c>
      <c r="CO19">
        <v>11.9912553243829</v>
      </c>
      <c r="CP19">
        <v>14.2255156522225</v>
      </c>
      <c r="CQ19">
        <v>84.647543589293093</v>
      </c>
      <c r="CR19">
        <v>76.795929167014506</v>
      </c>
      <c r="CS19">
        <v>93.488487804181005</v>
      </c>
      <c r="CT19">
        <v>12.825228126441999</v>
      </c>
      <c r="CU19">
        <v>11.4333668726144</v>
      </c>
      <c r="CV19">
        <v>14.397575680336899</v>
      </c>
      <c r="CW19">
        <v>10.7418814153952</v>
      </c>
      <c r="CX19">
        <v>8.2250253962721995</v>
      </c>
      <c r="CY19">
        <v>15.236023931676799</v>
      </c>
      <c r="CZ19">
        <v>14.720679135112301</v>
      </c>
      <c r="DA19">
        <v>9.5201831328110096</v>
      </c>
      <c r="DB19">
        <v>21.975768825697902</v>
      </c>
      <c r="DC19">
        <v>0</v>
      </c>
      <c r="DD19">
        <v>0</v>
      </c>
      <c r="DE19">
        <v>0</v>
      </c>
      <c r="DF19">
        <v>0.86604251186891801</v>
      </c>
      <c r="DG19">
        <v>0.86604251186891801</v>
      </c>
      <c r="DH19">
        <v>0.13395748813108199</v>
      </c>
      <c r="DI19">
        <v>0.43450411812152701</v>
      </c>
      <c r="DJ19">
        <v>0.39196611640547002</v>
      </c>
      <c r="DK19">
        <v>55.238060584062197</v>
      </c>
      <c r="DL19">
        <v>5.6971009669656203</v>
      </c>
      <c r="DM19">
        <v>0.22647881658124999</v>
      </c>
      <c r="DN19">
        <v>1.14918517480515E-2</v>
      </c>
      <c r="DO19">
        <v>0.9</v>
      </c>
      <c r="DP19">
        <v>17.326203208556102</v>
      </c>
      <c r="DQ19">
        <v>9.8202828121895999E-2</v>
      </c>
      <c r="DR19">
        <v>-8.8538822838155506E-2</v>
      </c>
      <c r="DS19" s="3">
        <v>0</v>
      </c>
      <c r="DT19" s="3">
        <v>0</v>
      </c>
      <c r="DU19" s="3">
        <v>8.4859929269161007E-3</v>
      </c>
      <c r="DV19" s="3">
        <v>8.1188213780036007E-3</v>
      </c>
      <c r="DW19" s="3">
        <v>9.0176378931786007E-3</v>
      </c>
      <c r="DX19" s="5">
        <v>5.9587925946185498E-3</v>
      </c>
      <c r="DY19" s="5">
        <v>6.80521140665222E-3</v>
      </c>
      <c r="DZ19" s="5">
        <v>5.1123737825848796E-3</v>
      </c>
      <c r="EA19">
        <v>46.359754912343497</v>
      </c>
      <c r="EB19">
        <v>42.967532656410697</v>
      </c>
      <c r="EC19">
        <v>50.3316082544765</v>
      </c>
      <c r="ED19">
        <v>38.287788676949503</v>
      </c>
      <c r="EE19">
        <v>38.287788676949503</v>
      </c>
      <c r="EF19">
        <v>38.287788676949503</v>
      </c>
    </row>
    <row r="20" spans="1:136" x14ac:dyDescent="0.2">
      <c r="A20" t="s">
        <v>123</v>
      </c>
      <c r="B20">
        <v>4.4611270626276998</v>
      </c>
      <c r="C20">
        <v>4.0613797110567198</v>
      </c>
      <c r="D20">
        <v>4.8952977189289699</v>
      </c>
      <c r="E20">
        <v>19.417721534149202</v>
      </c>
      <c r="F20">
        <v>16.022790229554001</v>
      </c>
      <c r="G20">
        <v>22.573455753533</v>
      </c>
      <c r="H20">
        <v>0</v>
      </c>
      <c r="I20">
        <v>0</v>
      </c>
      <c r="J20">
        <v>0</v>
      </c>
      <c r="K20">
        <v>23.878848596776901</v>
      </c>
      <c r="L20">
        <v>20.494594684546101</v>
      </c>
      <c r="M20">
        <v>27.015012031863701</v>
      </c>
      <c r="N20">
        <v>3.4130667425310799</v>
      </c>
      <c r="O20" s="20">
        <v>1.8663806984183999</v>
      </c>
      <c r="P20" s="20">
        <v>5.1851604307802797</v>
      </c>
      <c r="Q20" s="20">
        <v>0</v>
      </c>
      <c r="R20">
        <v>9.0260915871393905</v>
      </c>
      <c r="S20" s="12">
        <v>36.318006926447403</v>
      </c>
      <c r="T20">
        <v>30.945462946237601</v>
      </c>
      <c r="U20" s="6">
        <v>41.425716460251699</v>
      </c>
      <c r="V20" s="7">
        <v>1000</v>
      </c>
      <c r="W20" s="21">
        <v>6.2812101426160005E-2</v>
      </c>
      <c r="X20" s="21">
        <v>495.44525599999997</v>
      </c>
      <c r="Y20">
        <v>495.44525599999997</v>
      </c>
      <c r="Z20">
        <v>5095.6287949732596</v>
      </c>
      <c r="AA20">
        <v>2996</v>
      </c>
      <c r="AB20">
        <v>4039</v>
      </c>
      <c r="AC20" s="6">
        <v>1.2580446390776701</v>
      </c>
      <c r="AD20">
        <v>12</v>
      </c>
      <c r="AE20">
        <v>11</v>
      </c>
      <c r="AF20">
        <v>12</v>
      </c>
      <c r="AG20">
        <v>11.46</v>
      </c>
      <c r="AH20">
        <v>4</v>
      </c>
      <c r="AI20" s="4">
        <v>4</v>
      </c>
      <c r="AJ20" s="4">
        <v>3</v>
      </c>
      <c r="AK20" s="4">
        <v>13.487218649767099</v>
      </c>
      <c r="AL20" s="6" t="s">
        <v>32</v>
      </c>
      <c r="AM20" s="11" t="s">
        <v>31</v>
      </c>
      <c r="AN20" s="12">
        <v>20230824</v>
      </c>
      <c r="AO20" s="12" t="s">
        <v>32</v>
      </c>
      <c r="AP20" s="12">
        <v>3210</v>
      </c>
      <c r="AQ20">
        <v>1.3481730365392699</v>
      </c>
      <c r="AR20">
        <v>0.86124592787809695</v>
      </c>
      <c r="AS20">
        <v>5.4096666574746301E-2</v>
      </c>
      <c r="AT20" s="12">
        <v>1.9862930512817602E-3</v>
      </c>
      <c r="AU20" s="2">
        <v>0.18813371861862599</v>
      </c>
      <c r="AV20" s="2">
        <v>0.81186628138137396</v>
      </c>
      <c r="AW20" s="2">
        <v>0</v>
      </c>
      <c r="AX20" s="3">
        <v>8.75481170651307E-4</v>
      </c>
      <c r="AY20" s="3">
        <v>7.8439328306269805E-4</v>
      </c>
      <c r="AZ20" s="3">
        <v>9.7441287784091803E-4</v>
      </c>
      <c r="BA20" s="3">
        <v>3.81066249435289E-3</v>
      </c>
      <c r="BB20" s="3">
        <v>3.0370810814211099E-3</v>
      </c>
      <c r="BC20" s="3">
        <v>4.5297395881850298E-3</v>
      </c>
      <c r="BD20" s="3">
        <v>0</v>
      </c>
      <c r="BE20" s="3">
        <v>0</v>
      </c>
      <c r="BF20" s="3">
        <v>0</v>
      </c>
      <c r="BG20" s="3">
        <v>4.6861436650042004E-3</v>
      </c>
      <c r="BH20" s="3">
        <v>4.0219952255477502E-3</v>
      </c>
      <c r="BI20" s="3">
        <v>5.3016051833511702E-3</v>
      </c>
      <c r="BJ20" s="3">
        <v>7.1272866191262598E-3</v>
      </c>
      <c r="BK20" s="3">
        <v>-1.0543436730536099E-3</v>
      </c>
      <c r="BL20" s="3">
        <v>1.0023708043339001E-3</v>
      </c>
      <c r="BM20" s="3">
        <v>6.0729429460726599E-3</v>
      </c>
      <c r="BN20" s="3">
        <v>8.1296574234601595E-3</v>
      </c>
      <c r="BO20" s="3">
        <v>6.6980286042382198E-4</v>
      </c>
      <c r="BP20" s="3">
        <v>3.66270930146943E-4</v>
      </c>
      <c r="BQ20" s="3">
        <v>1.01757028217898E-3</v>
      </c>
      <c r="BR20" s="3">
        <v>0</v>
      </c>
      <c r="BS20" s="3">
        <v>0</v>
      </c>
      <c r="BT20" s="3">
        <v>0</v>
      </c>
      <c r="BU20" s="3">
        <v>1.7713400936982401E-3</v>
      </c>
      <c r="BV20" s="3">
        <v>1.4524988768325601E-3</v>
      </c>
      <c r="BW20" s="3">
        <v>2.09018131056393E-3</v>
      </c>
      <c r="BX20" s="3">
        <v>2.4411429541220599E-3</v>
      </c>
      <c r="BY20" s="3">
        <v>1.8187698069795E-3</v>
      </c>
      <c r="BZ20" s="3">
        <v>3.1077515927429101E-3</v>
      </c>
      <c r="CA20">
        <v>3.7383177570093499E-3</v>
      </c>
      <c r="CB20" s="3">
        <v>3.42679127725857E-3</v>
      </c>
      <c r="CC20">
        <v>1</v>
      </c>
      <c r="CD20">
        <v>2381</v>
      </c>
      <c r="CE20">
        <v>5.03989920201596E-3</v>
      </c>
      <c r="CF20" s="5">
        <v>3.8251001335113501E-3</v>
      </c>
      <c r="CG20" s="5">
        <v>4.81310373792524E-3</v>
      </c>
      <c r="CH20" s="13">
        <v>22.830788276680298</v>
      </c>
      <c r="CI20" s="13">
        <v>21.284102232567601</v>
      </c>
      <c r="CJ20" s="12">
        <v>24.602881964929502</v>
      </c>
      <c r="CK20" s="13">
        <v>22.830788276680298</v>
      </c>
      <c r="CL20" s="13">
        <v>21.284102232567601</v>
      </c>
      <c r="CM20">
        <v>24.602881964929502</v>
      </c>
      <c r="CN20">
        <v>13.487218649767099</v>
      </c>
      <c r="CO20">
        <v>11.462774812511</v>
      </c>
      <c r="CP20">
        <v>15.5460857917535</v>
      </c>
      <c r="CQ20">
        <v>23.147658720647499</v>
      </c>
      <c r="CR20">
        <v>19.536813482764298</v>
      </c>
      <c r="CS20">
        <v>26.543252576902098</v>
      </c>
      <c r="CT20">
        <v>0.54267647899819405</v>
      </c>
      <c r="CU20">
        <v>7.5298571305775802E-2</v>
      </c>
      <c r="CV20">
        <v>1.37633278928515</v>
      </c>
      <c r="CW20">
        <v>2.8703902635328902</v>
      </c>
      <c r="CX20">
        <v>1.68760198024914</v>
      </c>
      <c r="CY20">
        <v>4.2835393340927501</v>
      </c>
      <c r="CZ20">
        <v>0</v>
      </c>
      <c r="DA20">
        <v>0</v>
      </c>
      <c r="DB20">
        <v>0</v>
      </c>
      <c r="DC20">
        <v>0</v>
      </c>
      <c r="DD20">
        <v>0</v>
      </c>
      <c r="DE20">
        <v>0</v>
      </c>
      <c r="DF20">
        <v>0.62863592656858702</v>
      </c>
      <c r="DG20">
        <v>0.62863592656858702</v>
      </c>
      <c r="DH20">
        <v>0.37136407343141398</v>
      </c>
      <c r="DI20">
        <v>0.34250700030260001</v>
      </c>
      <c r="DJ20">
        <v>9.3977268961589699E-2</v>
      </c>
      <c r="DK20">
        <v>23.878848596776901</v>
      </c>
      <c r="DL20">
        <v>5.3529947478698698</v>
      </c>
      <c r="DM20">
        <v>2.1401212914629402</v>
      </c>
      <c r="DN20">
        <v>5.4988291489690196E-3</v>
      </c>
      <c r="DO20">
        <v>0.9</v>
      </c>
      <c r="DP20">
        <v>17.326203208556102</v>
      </c>
      <c r="DQ20">
        <v>0.14064596448042199</v>
      </c>
      <c r="DR20">
        <v>-0.14793694501500501</v>
      </c>
      <c r="DS20" s="3">
        <v>0</v>
      </c>
      <c r="DT20" s="3">
        <v>0</v>
      </c>
      <c r="DU20" s="3">
        <v>8.75481170651307E-4</v>
      </c>
      <c r="DV20" s="3">
        <v>7.9703209838660001E-4</v>
      </c>
      <c r="DW20" s="3">
        <v>9.6068570060638798E-4</v>
      </c>
      <c r="DX20" s="5">
        <v>3.0734467370106002E-3</v>
      </c>
      <c r="DY20" s="5">
        <v>3.5100155711631099E-3</v>
      </c>
      <c r="DZ20" s="5">
        <v>2.6368779028580801E-3</v>
      </c>
      <c r="EA20">
        <v>19.734591978116399</v>
      </c>
      <c r="EB20">
        <v>16.599461357754901</v>
      </c>
      <c r="EC20">
        <v>22.902167365861398</v>
      </c>
      <c r="ED20">
        <v>3.4130667425310799</v>
      </c>
      <c r="EE20">
        <v>3.4130667425310799</v>
      </c>
      <c r="EF20">
        <v>3.4130667425310799</v>
      </c>
    </row>
    <row r="21" spans="1:136" x14ac:dyDescent="0.2">
      <c r="A21" t="s">
        <v>68</v>
      </c>
      <c r="U21" s="4"/>
      <c r="V21" s="7"/>
      <c r="AI21" s="11">
        <v>1</v>
      </c>
      <c r="AJ21" s="11"/>
      <c r="AK21" s="4"/>
      <c r="AL21" s="6"/>
      <c r="AM21" s="6"/>
      <c r="AN21" s="6"/>
      <c r="AO21" s="6"/>
      <c r="AP21" s="6"/>
      <c r="AT21" s="12">
        <v>4.7999999999999996E-3</v>
      </c>
      <c r="AU21" s="2"/>
      <c r="AV21" s="2"/>
      <c r="AW21" s="2"/>
      <c r="AX21" s="3">
        <f>BG21</f>
        <v>4.9420000000000002E-3</v>
      </c>
      <c r="AY21" s="3">
        <f t="shared" ref="AY21:AZ21" si="0">BH21</f>
        <v>3.9430225921521997E-3</v>
      </c>
      <c r="AZ21" s="3">
        <f t="shared" si="0"/>
        <v>5.9850499405469677E-3</v>
      </c>
      <c r="BG21" s="3">
        <v>4.9420000000000002E-3</v>
      </c>
      <c r="BH21" s="5">
        <f>$BG$21+BK21*$BG$21/$BJ$21</f>
        <v>3.9430225921521997E-3</v>
      </c>
      <c r="BI21" s="5">
        <f>$BG$21+BL21*$BG$21/$BJ$21</f>
        <v>5.9850499405469677E-3</v>
      </c>
      <c r="BJ21" s="3">
        <f>BG21+BU21</f>
        <v>1.0092E-2</v>
      </c>
      <c r="BK21" s="3">
        <v>-2.0400000000000001E-3</v>
      </c>
      <c r="BL21" s="3">
        <v>2.1299999999999999E-3</v>
      </c>
      <c r="BM21" s="3">
        <f>BJ21+BK21</f>
        <v>8.0520000000000001E-3</v>
      </c>
      <c r="BN21" s="3">
        <f>BJ21+BL21</f>
        <v>1.2222E-2</v>
      </c>
      <c r="BO21" s="3"/>
      <c r="BP21" s="3"/>
      <c r="BQ21" s="3"/>
      <c r="BR21" s="3"/>
      <c r="BT21"/>
      <c r="BU21" s="3">
        <v>5.1500000000000001E-3</v>
      </c>
      <c r="BV21" s="5">
        <f>$BU$21+BK21*$BU$21/$BJ$21</f>
        <v>4.1089774078478004E-3</v>
      </c>
      <c r="BW21" s="5">
        <f>$BU$21+BL21*$BU$21/$BJ$21</f>
        <v>6.2369500594530326E-3</v>
      </c>
      <c r="BX21"/>
    </row>
    <row r="22" spans="1:136" x14ac:dyDescent="0.2">
      <c r="Y22" t="s">
        <v>77</v>
      </c>
      <c r="Z22" s="14">
        <f>Z23/Z26</f>
        <v>0.28154140876431277</v>
      </c>
      <c r="AP22" s="11"/>
      <c r="AQ22" s="4"/>
      <c r="AR22" s="6"/>
      <c r="AS22" s="6"/>
      <c r="AT22" s="6"/>
      <c r="AU22" s="6"/>
      <c r="AY22" s="3"/>
      <c r="AZ22" s="2"/>
      <c r="BA22" s="2"/>
      <c r="BB22" s="2"/>
      <c r="BC22" s="2"/>
      <c r="BD22" s="2"/>
      <c r="BE22" s="2"/>
      <c r="BF22" s="3"/>
      <c r="BG22" s="3"/>
      <c r="BH22" s="2"/>
      <c r="BI22" s="2"/>
      <c r="BJ22" s="3"/>
      <c r="BK22" s="3"/>
      <c r="BL22" s="3"/>
      <c r="BM22" s="3"/>
      <c r="BN22" s="3"/>
      <c r="BO22" s="3"/>
      <c r="BP22" s="3"/>
      <c r="BR22" s="7"/>
      <c r="BS22" s="3"/>
      <c r="BT22" s="3"/>
      <c r="BU22" s="3"/>
      <c r="BV22"/>
      <c r="BW22"/>
      <c r="BX22"/>
    </row>
    <row r="23" spans="1:136" x14ac:dyDescent="0.2">
      <c r="A23" t="s">
        <v>45</v>
      </c>
      <c r="C23" s="10"/>
      <c r="D23" s="19"/>
      <c r="K23" s="10">
        <f t="shared" ref="K23:U23" si="1">K3+K7+K13+K14+K15+K16</f>
        <v>408.27606734054478</v>
      </c>
      <c r="L23" s="10">
        <f t="shared" si="1"/>
        <v>388.94682110417699</v>
      </c>
      <c r="M23" s="10">
        <f t="shared" si="1"/>
        <v>429.07881442232554</v>
      </c>
      <c r="N23" s="10">
        <f t="shared" si="1"/>
        <v>231.50212529257735</v>
      </c>
      <c r="O23" s="10">
        <f t="shared" si="1"/>
        <v>213.32286437245625</v>
      </c>
      <c r="P23" s="10">
        <f t="shared" si="1"/>
        <v>253.81008636350603</v>
      </c>
      <c r="Q23" s="10">
        <f t="shared" si="1"/>
        <v>1.9084621326150299</v>
      </c>
      <c r="R23" s="10">
        <f t="shared" si="1"/>
        <v>67.339201978251864</v>
      </c>
      <c r="S23" s="10">
        <f t="shared" si="1"/>
        <v>709.02585674398858</v>
      </c>
      <c r="T23" s="10">
        <f t="shared" si="1"/>
        <v>669.46913359623818</v>
      </c>
      <c r="U23" s="10">
        <f t="shared" si="1"/>
        <v>752.80355243971087</v>
      </c>
      <c r="Z23" s="10">
        <f>Z3+Z7+Z13+Z14+Z15+Z16</f>
        <v>24008.895446751343</v>
      </c>
      <c r="AA23" s="10">
        <f>AA3+AA7+AA13+AA14+AA15+AA16</f>
        <v>170494</v>
      </c>
      <c r="AB23" s="10">
        <f>AB3+AB7+AB13+AB14+AB15+AB16</f>
        <v>549801</v>
      </c>
      <c r="AG23" s="10">
        <f>AG3+AG7+AG13+AG14+AG15+AG16</f>
        <v>601.45600000000002</v>
      </c>
      <c r="AH23" s="10"/>
      <c r="AI23" s="10"/>
      <c r="AJ23" s="10"/>
      <c r="AP23" s="11">
        <v>1</v>
      </c>
      <c r="AQ23" s="10">
        <f>AQ3+AQ7+AQ13+AQ14+AQ15+AQ16</f>
        <v>18.722738970751362</v>
      </c>
      <c r="AR23">
        <f>AB23/AA23</f>
        <v>3.224752777223832</v>
      </c>
      <c r="BE23" s="3">
        <f t="shared" ref="BE23:BG25" si="2">S23/$Z23</f>
        <v>2.9531798258546179E-2</v>
      </c>
      <c r="BF23" s="3">
        <f t="shared" si="2"/>
        <v>2.78842121280021E-2</v>
      </c>
      <c r="BG23" s="3">
        <f t="shared" si="2"/>
        <v>3.1355193082886E-2</v>
      </c>
      <c r="BR23" s="10">
        <f>BR3+BR7+BR13+BR14+BR15+BR16</f>
        <v>2.9308575028064599E-3</v>
      </c>
      <c r="BS23"/>
      <c r="BT23"/>
      <c r="BU23" s="3">
        <f>AG23/BR23</f>
        <v>205215.02646378143</v>
      </c>
      <c r="BV23" s="10">
        <f>BV3+BV7+BV13+BV14+BV15+BV16</f>
        <v>1.6581009126096051E-2</v>
      </c>
      <c r="BW23" s="12"/>
      <c r="BX23" s="12"/>
      <c r="BY23" s="12"/>
      <c r="BZ23" s="12"/>
      <c r="CA23" s="12"/>
      <c r="CB23" s="12"/>
      <c r="CC23" s="12"/>
      <c r="CH23" s="10">
        <f>CH3+CH7+CH13+CH14+CH15+CH16</f>
        <v>527.0995569641907</v>
      </c>
      <c r="EA23" s="10">
        <f t="shared" ref="EA23:EF23" si="3">EA3+EA7+EA13+EA14+EA15+EA16</f>
        <v>296.40950241358843</v>
      </c>
      <c r="EB23" s="10">
        <f t="shared" si="3"/>
        <v>277.42953252066866</v>
      </c>
      <c r="EC23" s="10">
        <f t="shared" si="3"/>
        <v>317.20405513370065</v>
      </c>
      <c r="ED23" s="10">
        <f t="shared" si="3"/>
        <v>231.50212529257735</v>
      </c>
      <c r="EE23" s="10">
        <f t="shared" si="3"/>
        <v>231.50212529257735</v>
      </c>
      <c r="EF23" s="10">
        <f t="shared" si="3"/>
        <v>231.50212529257735</v>
      </c>
    </row>
    <row r="24" spans="1:136" x14ac:dyDescent="0.2">
      <c r="A24" t="s">
        <v>46</v>
      </c>
      <c r="N24" s="10">
        <f>N23+Q23+R23</f>
        <v>300.74978940344425</v>
      </c>
      <c r="S24">
        <f>SUM(S2:S16)</f>
        <v>1354.9263157877688</v>
      </c>
      <c r="T24">
        <f>SUM(T2:T16)</f>
        <v>1268.253919820886</v>
      </c>
      <c r="U24">
        <f>SUM(U2:U16)</f>
        <v>1451.5488584454288</v>
      </c>
      <c r="Z24">
        <f>SUM(Z2:Z16)</f>
        <v>45862.470458927812</v>
      </c>
      <c r="AA24">
        <f>SUM(AA2:AA16)</f>
        <v>398424</v>
      </c>
      <c r="AB24">
        <f>SUM(AB2:AB16)</f>
        <v>1714990</v>
      </c>
      <c r="AG24">
        <f>SUM(AG2:AG16)</f>
        <v>1281.4670000000003</v>
      </c>
      <c r="AP24" s="11">
        <v>1</v>
      </c>
      <c r="AQ24">
        <f>SUM(AQ2:AQ16)</f>
        <v>63.08617015358859</v>
      </c>
      <c r="AR24" s="10">
        <f>AQ24/BR23</f>
        <v>21524.816574391643</v>
      </c>
      <c r="BE24" s="3">
        <f t="shared" si="2"/>
        <v>2.9543247501269576E-2</v>
      </c>
      <c r="BF24" s="3">
        <f t="shared" si="2"/>
        <v>2.7653414810191533E-2</v>
      </c>
      <c r="BG24" s="3">
        <f t="shared" si="2"/>
        <v>3.1650036378772159E-2</v>
      </c>
      <c r="BR24">
        <f>SUM(BR2:BR16)</f>
        <v>5.4628452625889203E-3</v>
      </c>
      <c r="BS24"/>
      <c r="BT24"/>
      <c r="BU24" s="3">
        <f>AG24/BR24</f>
        <v>234578.67437246334</v>
      </c>
      <c r="BV24" s="3"/>
      <c r="BW24" s="12"/>
      <c r="BX24" s="12"/>
      <c r="BY24" s="12"/>
      <c r="BZ24" s="12"/>
      <c r="CA24" s="12"/>
      <c r="CB24" s="12"/>
      <c r="CC24" s="12"/>
      <c r="CG24" t="s">
        <v>129</v>
      </c>
      <c r="CH24">
        <f>CH23/S23</f>
        <v>0.74341373019138435</v>
      </c>
      <c r="DZ24" t="s">
        <v>129</v>
      </c>
      <c r="EA24">
        <f>EA23/K23</f>
        <v>0.72600263920528074</v>
      </c>
      <c r="ED24">
        <f>ED23/N24</f>
        <v>0.76974991653951308</v>
      </c>
    </row>
    <row r="25" spans="1:136" x14ac:dyDescent="0.2">
      <c r="A25" t="s">
        <v>107</v>
      </c>
      <c r="S25">
        <f>S3+S7+S13+S15+S16</f>
        <v>632.69141027683804</v>
      </c>
      <c r="T25">
        <f>T3+T7+T13+T15+T16</f>
        <v>602.49619455624668</v>
      </c>
      <c r="U25">
        <f>U3+U7+U13+U15+U16</f>
        <v>666.2654466558879</v>
      </c>
      <c r="Z25">
        <f>Z3+Z7+Z13+Z15+Z16</f>
        <v>13766.415407446544</v>
      </c>
      <c r="BE25" s="3">
        <f t="shared" si="2"/>
        <v>4.5959052632873622E-2</v>
      </c>
      <c r="BF25" s="3">
        <f t="shared" si="2"/>
        <v>4.3765655526444729E-2</v>
      </c>
      <c r="BG25" s="3">
        <f t="shared" si="2"/>
        <v>4.8397889133542413E-2</v>
      </c>
      <c r="BR25"/>
      <c r="BS25"/>
      <c r="BT25"/>
      <c r="BU25"/>
      <c r="BV25"/>
      <c r="BY25" s="13"/>
      <c r="BZ25" s="13"/>
      <c r="CA25" s="13"/>
      <c r="CB25" s="13"/>
      <c r="CC25" s="13"/>
    </row>
    <row r="26" spans="1:136" x14ac:dyDescent="0.2">
      <c r="R26" t="s">
        <v>110</v>
      </c>
      <c r="S26">
        <v>1500</v>
      </c>
      <c r="Y26" t="s">
        <v>78</v>
      </c>
      <c r="Z26">
        <v>85276.604788356199</v>
      </c>
      <c r="BR26"/>
      <c r="BS26"/>
      <c r="BT26"/>
      <c r="BU26"/>
      <c r="BV26"/>
      <c r="BX26" s="1"/>
      <c r="BY26" s="13"/>
      <c r="BZ26" s="13"/>
      <c r="CA26" s="13"/>
      <c r="CB26" s="13"/>
      <c r="CC26" s="13"/>
      <c r="CO26" t="s">
        <v>128</v>
      </c>
      <c r="CP26">
        <f>0.7303</f>
        <v>0.73029999999999995</v>
      </c>
    </row>
    <row r="27" spans="1:136" x14ac:dyDescent="0.2">
      <c r="A27" t="s">
        <v>102</v>
      </c>
      <c r="R27" t="s">
        <v>111</v>
      </c>
      <c r="S27">
        <v>8760</v>
      </c>
      <c r="Y27" t="s">
        <v>261</v>
      </c>
      <c r="AA27" s="10">
        <f>SUM(W2:W6)</f>
        <v>0.25175823450925189</v>
      </c>
      <c r="AB27" s="10">
        <f>SUM(X2:X6)</f>
        <v>64.229338331515066</v>
      </c>
      <c r="AD27" s="10">
        <f t="shared" ref="AD27:AI27" si="4">SUM(Z2:Z6)</f>
        <v>29423.656768716588</v>
      </c>
      <c r="AE27" s="10">
        <f t="shared" si="4"/>
        <v>162037</v>
      </c>
      <c r="AF27" s="10">
        <f t="shared" si="4"/>
        <v>643575</v>
      </c>
      <c r="AG27" s="10">
        <f t="shared" si="4"/>
        <v>8.5003077455682394</v>
      </c>
      <c r="AH27" s="10">
        <f t="shared" si="4"/>
        <v>4062</v>
      </c>
      <c r="AI27" s="10">
        <f t="shared" si="4"/>
        <v>3803.288</v>
      </c>
      <c r="AJ27" s="10"/>
      <c r="AQ27" s="10">
        <f>SUM(AK2:AK6)</f>
        <v>272.5990803004313</v>
      </c>
      <c r="AR27">
        <f>AQ27/BR27</f>
        <v>1316.744531124112</v>
      </c>
      <c r="BR27" s="10">
        <f>SUM(BM2:BM6)</f>
        <v>0.2070250332216774</v>
      </c>
      <c r="BS27"/>
      <c r="BT27"/>
      <c r="BU27"/>
      <c r="BV27"/>
      <c r="BX27" s="1"/>
      <c r="BY27" s="13"/>
      <c r="BZ27" s="13"/>
      <c r="CA27" s="13"/>
      <c r="CB27" s="13"/>
      <c r="CC27" s="13"/>
    </row>
    <row r="28" spans="1:136" x14ac:dyDescent="0.2">
      <c r="A28" t="s">
        <v>103</v>
      </c>
      <c r="R28" t="s">
        <v>120</v>
      </c>
      <c r="S28">
        <v>82.5</v>
      </c>
      <c r="T28" t="s">
        <v>121</v>
      </c>
      <c r="U28" t="s">
        <v>122</v>
      </c>
      <c r="AA28" s="10">
        <f>SUM(W7:W11)</f>
        <v>0.67854487172880595</v>
      </c>
      <c r="AB28" s="10">
        <f>SUM(X7:X11)</f>
        <v>80.237423199999995</v>
      </c>
      <c r="AD28" s="10">
        <f t="shared" ref="AD28:AI28" si="5">SUM(Z7:Z11)</f>
        <v>1224.3124374545469</v>
      </c>
      <c r="AE28" s="10">
        <f t="shared" si="5"/>
        <v>180339</v>
      </c>
      <c r="AF28" s="10">
        <f t="shared" si="5"/>
        <v>870400</v>
      </c>
      <c r="AG28" s="10">
        <f t="shared" si="5"/>
        <v>9.4819814098216195</v>
      </c>
      <c r="AH28" s="10">
        <f t="shared" si="5"/>
        <v>352</v>
      </c>
      <c r="AI28" s="10">
        <f t="shared" si="5"/>
        <v>326.06299999999999</v>
      </c>
      <c r="AJ28" s="10"/>
      <c r="AQ28" s="10">
        <f>SUM(AK7:AK11)</f>
        <v>15.778486194316548</v>
      </c>
      <c r="AR28">
        <f t="shared" ref="AR28:AR30" si="6">AQ28/BR28</f>
        <v>87.208846642362417</v>
      </c>
      <c r="BR28" s="10">
        <f>SUM(BM7:BM11)</f>
        <v>0.1809275870717916</v>
      </c>
      <c r="BS28"/>
      <c r="BT28"/>
      <c r="BU28"/>
      <c r="BV28"/>
      <c r="BX28"/>
      <c r="BY28" s="13"/>
      <c r="BZ28" s="13"/>
      <c r="CA28" s="13"/>
      <c r="CB28" s="13"/>
      <c r="CC28" s="13"/>
    </row>
    <row r="29" spans="1:136" x14ac:dyDescent="0.2">
      <c r="A29" t="s">
        <v>104</v>
      </c>
      <c r="R29" t="s">
        <v>117</v>
      </c>
      <c r="S29" s="14">
        <f>S23*$S$27</f>
        <v>6211066.5050773397</v>
      </c>
      <c r="T29" s="14">
        <f>T23*$S$27</f>
        <v>5864549.6103030462</v>
      </c>
      <c r="U29" s="14">
        <f>U23*$S$27</f>
        <v>6594559.1193718668</v>
      </c>
      <c r="AA29" s="10">
        <f>W12+W13</f>
        <v>0.1379069854575099</v>
      </c>
      <c r="AB29" s="10">
        <f>X12+X13</f>
        <v>21.262557299999997</v>
      </c>
      <c r="AD29" s="10">
        <f t="shared" ref="AD29:AI29" si="7">Z12+Z13</f>
        <v>3970.1202531016097</v>
      </c>
      <c r="AE29" s="10">
        <f t="shared" si="7"/>
        <v>23359</v>
      </c>
      <c r="AF29" s="10">
        <f t="shared" si="7"/>
        <v>127167</v>
      </c>
      <c r="AG29" s="10">
        <f t="shared" si="7"/>
        <v>3.2176052236405002</v>
      </c>
      <c r="AH29" s="10">
        <f t="shared" si="7"/>
        <v>74</v>
      </c>
      <c r="AI29" s="10">
        <f t="shared" si="7"/>
        <v>58.923999999999999</v>
      </c>
      <c r="AJ29" s="10"/>
      <c r="AQ29" s="10">
        <f>AK12+AK13</f>
        <v>37.003436133579598</v>
      </c>
      <c r="AR29">
        <f t="shared" si="6"/>
        <v>1817.5709074078034</v>
      </c>
      <c r="BR29" s="10">
        <f>BM12+BM13</f>
        <v>2.0358730425738068E-2</v>
      </c>
      <c r="BS29"/>
      <c r="BT29"/>
      <c r="BU29"/>
      <c r="BV29"/>
      <c r="BX29"/>
      <c r="BY29" s="13"/>
      <c r="BZ29" s="13"/>
      <c r="CA29" s="13"/>
      <c r="CB29" s="13"/>
      <c r="CC29" s="13"/>
    </row>
    <row r="30" spans="1:136" x14ac:dyDescent="0.2">
      <c r="A30" t="s">
        <v>106</v>
      </c>
      <c r="R30" t="s">
        <v>119</v>
      </c>
      <c r="S30" s="14">
        <f>S29*$S$28</f>
        <v>512412986.66888052</v>
      </c>
      <c r="T30" s="14">
        <f>T29*$S$28</f>
        <v>483825342.85000134</v>
      </c>
      <c r="U30" s="14">
        <f>U29*$S$28</f>
        <v>544051127.34817898</v>
      </c>
      <c r="AA30" s="16">
        <f>SUM(AA27:AA29)</f>
        <v>1.0682100916955677</v>
      </c>
      <c r="AB30" s="16">
        <f>SUM(AB27:AB29)</f>
        <v>165.72931883151506</v>
      </c>
      <c r="AQ30" s="10">
        <f>SUM(AQ27:AQ29)</f>
        <v>325.38100262832745</v>
      </c>
      <c r="AR30">
        <f t="shared" si="6"/>
        <v>796.89433579349543</v>
      </c>
      <c r="BR30" s="10">
        <f>SUM(BR27:BR29)</f>
        <v>0.40831135071920704</v>
      </c>
      <c r="BS30"/>
      <c r="BT30"/>
      <c r="BU30"/>
      <c r="BV30"/>
      <c r="BX30"/>
      <c r="BY30" s="13"/>
      <c r="BZ30" s="13"/>
      <c r="CA30" s="13"/>
      <c r="CB30" s="13"/>
      <c r="CC30" s="13"/>
    </row>
    <row r="31" spans="1:136" x14ac:dyDescent="0.2">
      <c r="R31" t="s">
        <v>115</v>
      </c>
      <c r="S31" s="10">
        <f>S29*$S$26</f>
        <v>9316599757.6160088</v>
      </c>
      <c r="T31" s="10">
        <f>T29*$S$26</f>
        <v>8796824415.4545689</v>
      </c>
      <c r="U31" s="10">
        <f>U29*$S$26</f>
        <v>9891838679.0578003</v>
      </c>
      <c r="BR31"/>
      <c r="BS31"/>
      <c r="BT31"/>
      <c r="BU31"/>
      <c r="BV31"/>
      <c r="BX31"/>
      <c r="BY31" s="13"/>
      <c r="BZ31" s="13"/>
      <c r="CA31" s="13"/>
      <c r="CB31" s="13"/>
      <c r="CC31" s="13"/>
    </row>
    <row r="32" spans="1:136" x14ac:dyDescent="0.2">
      <c r="R32" t="s">
        <v>112</v>
      </c>
      <c r="S32">
        <v>3</v>
      </c>
      <c r="Y32" s="14">
        <f>Z23*$S27/$S33</f>
        <v>12136060248.906044</v>
      </c>
      <c r="BR32"/>
      <c r="BS32"/>
      <c r="BT32"/>
      <c r="BU32"/>
      <c r="BV32"/>
      <c r="BX32"/>
      <c r="BY32" s="13"/>
      <c r="BZ32" s="13"/>
      <c r="CA32" s="13"/>
      <c r="CB32" s="13"/>
      <c r="CC32" s="13"/>
    </row>
    <row r="33" spans="2:136" x14ac:dyDescent="0.2">
      <c r="R33" t="s">
        <v>113</v>
      </c>
      <c r="S33">
        <v>1.7330000000000002E-2</v>
      </c>
      <c r="Y33" s="14">
        <f>Z26*$S27/$S33</f>
        <v>43105773684.131577</v>
      </c>
      <c r="BR33"/>
      <c r="BS33"/>
      <c r="BT33"/>
      <c r="BU33"/>
      <c r="BV33"/>
      <c r="BX33"/>
      <c r="BY33" s="13"/>
      <c r="BZ33" s="13"/>
      <c r="CA33" s="13"/>
      <c r="CB33" s="13"/>
      <c r="CC33" s="13"/>
    </row>
    <row r="34" spans="2:136" x14ac:dyDescent="0.2">
      <c r="R34" t="s">
        <v>116</v>
      </c>
      <c r="S34" s="14">
        <f>S29/$S$33</f>
        <v>358399682.92425501</v>
      </c>
      <c r="T34" s="14">
        <f>T29/$S$33</f>
        <v>338404478.37871009</v>
      </c>
      <c r="U34" s="14">
        <f>U29/$S$33</f>
        <v>380528512.36998653</v>
      </c>
      <c r="BR34"/>
      <c r="BS34"/>
      <c r="BT34"/>
      <c r="BU34"/>
      <c r="BV34"/>
      <c r="BX34"/>
      <c r="BY34" s="13"/>
      <c r="BZ34" s="13"/>
      <c r="CA34" s="13"/>
      <c r="CB34" s="13"/>
      <c r="CC34" s="13"/>
    </row>
    <row r="35" spans="2:136" x14ac:dyDescent="0.2">
      <c r="R35" t="s">
        <v>114</v>
      </c>
      <c r="S35" s="14">
        <f>S34*$S$32</f>
        <v>1075199048.7727652</v>
      </c>
      <c r="T35" s="14">
        <f>T34*$S$32</f>
        <v>1015213435.1361303</v>
      </c>
      <c r="U35" s="14">
        <f>U34*$S$32</f>
        <v>1141585537.1099596</v>
      </c>
      <c r="BR35"/>
      <c r="BS35"/>
      <c r="BT35"/>
      <c r="BU35"/>
      <c r="BV35"/>
      <c r="BX35"/>
      <c r="BY35" s="13"/>
      <c r="BZ35" s="13"/>
      <c r="CA35" s="13"/>
      <c r="CB35" s="13"/>
      <c r="CC35" s="13"/>
    </row>
    <row r="36" spans="2:136" x14ac:dyDescent="0.2">
      <c r="R36" t="s">
        <v>118</v>
      </c>
      <c r="S36">
        <f>S32/S33</f>
        <v>173.11021350259665</v>
      </c>
      <c r="BR36"/>
      <c r="BS36"/>
      <c r="BT36"/>
      <c r="BU36"/>
      <c r="BV36"/>
      <c r="BX36"/>
      <c r="BY36" s="13"/>
      <c r="BZ36" s="13"/>
      <c r="CA36" s="13"/>
      <c r="CB36" s="13"/>
      <c r="CC36" s="13"/>
    </row>
    <row r="37" spans="2:136" x14ac:dyDescent="0.2">
      <c r="BS37"/>
    </row>
    <row r="38" spans="2:136" x14ac:dyDescent="0.2">
      <c r="BS38"/>
    </row>
    <row r="39" spans="2:136" x14ac:dyDescent="0.2">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row>
    <row r="40" spans="2:136" x14ac:dyDescent="0.2">
      <c r="BS40"/>
    </row>
    <row r="41" spans="2:136" x14ac:dyDescent="0.2">
      <c r="BS41"/>
    </row>
    <row r="42" spans="2:136" x14ac:dyDescent="0.2">
      <c r="BS42"/>
    </row>
    <row r="43" spans="2:136" x14ac:dyDescent="0.2">
      <c r="BS43"/>
    </row>
    <row r="44" spans="2:136" x14ac:dyDescent="0.2">
      <c r="BS44"/>
    </row>
    <row r="45" spans="2:136" x14ac:dyDescent="0.2">
      <c r="BS45"/>
    </row>
    <row r="46" spans="2:136" x14ac:dyDescent="0.2">
      <c r="BS46"/>
    </row>
    <row r="47" spans="2:136" x14ac:dyDescent="0.2">
      <c r="BS47"/>
    </row>
    <row r="48" spans="2:136" x14ac:dyDescent="0.2">
      <c r="BS48"/>
    </row>
    <row r="49" spans="71:71" x14ac:dyDescent="0.2">
      <c r="BS49"/>
    </row>
    <row r="50" spans="71:71" x14ac:dyDescent="0.2">
      <c r="BS50"/>
    </row>
    <row r="51" spans="71:71" x14ac:dyDescent="0.2">
      <c r="BS51"/>
    </row>
    <row r="52" spans="71:71" x14ac:dyDescent="0.2">
      <c r="BS52"/>
    </row>
    <row r="53" spans="71:71" x14ac:dyDescent="0.2">
      <c r="BS53"/>
    </row>
    <row r="54" spans="71:71" x14ac:dyDescent="0.2">
      <c r="BS54"/>
    </row>
    <row r="55" spans="71:71" x14ac:dyDescent="0.2">
      <c r="BS55"/>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3D499-41D5-F240-94D0-4952F45BD787}">
  <dimension ref="A1:AB93"/>
  <sheetViews>
    <sheetView topLeftCell="A42" workbookViewId="0">
      <selection activeCell="I67" sqref="I67"/>
    </sheetView>
  </sheetViews>
  <sheetFormatPr baseColWidth="10" defaultRowHeight="16" x14ac:dyDescent="0.2"/>
  <cols>
    <col min="1" max="1" width="24.1640625" customWidth="1"/>
    <col min="2" max="2" width="14.1640625" customWidth="1"/>
    <col min="8" max="8" width="16.33203125" customWidth="1"/>
    <col min="23" max="23" width="13.1640625" customWidth="1"/>
  </cols>
  <sheetData>
    <row r="1" spans="1:19" x14ac:dyDescent="0.2">
      <c r="I1" t="s">
        <v>190</v>
      </c>
      <c r="J1" t="s">
        <v>219</v>
      </c>
    </row>
    <row r="2" spans="1:19" x14ac:dyDescent="0.2">
      <c r="A2" s="22" t="s">
        <v>188</v>
      </c>
      <c r="B2" t="str" cm="1">
        <f t="array" ref="B2:B21">'By site'!Y1:Y20</f>
        <v>Transition point</v>
      </c>
      <c r="C2" t="str" cm="1">
        <f t="array" ref="C2:C21">'By site'!X1:X20</f>
        <v>Min detected emission</v>
      </c>
      <c r="D2" t="str" cm="1">
        <f t="array" ref="D2:D21">'By site'!AD1:AD20</f>
        <v># production plumes</v>
      </c>
      <c r="E2" t="str" cm="1">
        <f t="array" ref="E2:E21">'By site'!AE1:AE20</f>
        <v># production plumes sel</v>
      </c>
      <c r="H2" s="22" t="s">
        <v>260</v>
      </c>
      <c r="I2" t="s">
        <v>189</v>
      </c>
      <c r="J2" t="s">
        <v>218</v>
      </c>
      <c r="K2" t="s">
        <v>220</v>
      </c>
      <c r="M2" s="22" t="s">
        <v>191</v>
      </c>
      <c r="N2" t="str" cm="1">
        <f t="array" ref="N2:N21">'By site'!CD1:CD20</f>
        <v>Well sites covered</v>
      </c>
      <c r="O2" t="str" cm="1">
        <f t="array" ref="O2:O21">'By site'!AD1:AD20</f>
        <v># production plumes</v>
      </c>
      <c r="P2" t="str" cm="1">
        <f t="array" ref="P2:P21">'By site'!AF1:AF20</f>
        <v># prod sources overall</v>
      </c>
      <c r="Q2" t="str" cm="1">
        <f t="array" ref="Q2:Q21">'By site'!AQ1:AQ20</f>
        <v>Avg visits/well site</v>
      </c>
      <c r="R2" t="str" cm="1">
        <f t="array" ref="R2:R21">'By site'!AG1:AG20</f>
        <v># avg prod sources sim</v>
      </c>
      <c r="S2" t="str" cm="1">
        <f t="array" ref="S2:S21">'By site'!CG1:CG20</f>
        <v>Avg % sites emitting</v>
      </c>
    </row>
    <row r="3" spans="1:19" x14ac:dyDescent="0.2">
      <c r="A3" t="s">
        <v>101</v>
      </c>
      <c r="B3" s="6">
        <v>24.390999999999998</v>
      </c>
      <c r="C3" s="6">
        <v>5.94645472151507</v>
      </c>
      <c r="D3">
        <v>1279</v>
      </c>
      <c r="E3" s="4">
        <v>1276.96</v>
      </c>
      <c r="H3" t="s">
        <v>101</v>
      </c>
      <c r="I3" s="11">
        <f>1000*'By site'!K2/'By site'!CD2</f>
        <v>6.052388365933389</v>
      </c>
      <c r="J3" s="11">
        <v>3.1883750000000002</v>
      </c>
      <c r="K3" s="9">
        <f>J3/I3</f>
        <v>0.52679616826080766</v>
      </c>
      <c r="M3" t="s">
        <v>101</v>
      </c>
      <c r="N3">
        <v>18030</v>
      </c>
      <c r="O3">
        <v>1279</v>
      </c>
      <c r="P3">
        <v>627</v>
      </c>
      <c r="Q3" s="6">
        <v>3.76982806433722</v>
      </c>
      <c r="R3" s="6">
        <v>299.73599999999999</v>
      </c>
      <c r="S3" s="3">
        <v>1.6624292845257901E-2</v>
      </c>
    </row>
    <row r="4" spans="1:19" x14ac:dyDescent="0.2">
      <c r="A4" t="s">
        <v>84</v>
      </c>
      <c r="B4" s="6">
        <v>60.218000000000004</v>
      </c>
      <c r="C4" s="6">
        <v>15.0295249</v>
      </c>
      <c r="D4">
        <v>1749</v>
      </c>
      <c r="E4" s="4">
        <v>1643.569</v>
      </c>
      <c r="H4" t="s">
        <v>84</v>
      </c>
      <c r="I4" s="11">
        <f>1000*'By site'!K3/'By site'!CD3</f>
        <v>6.606866938276907</v>
      </c>
      <c r="J4" s="11">
        <v>3.823909</v>
      </c>
      <c r="K4" s="9">
        <f t="shared" ref="K4:K17" si="0">J4/I4</f>
        <v>0.57877796476362642</v>
      </c>
      <c r="M4" t="s">
        <v>84</v>
      </c>
      <c r="N4">
        <v>46337</v>
      </c>
      <c r="O4">
        <v>1749</v>
      </c>
      <c r="P4">
        <v>1054</v>
      </c>
      <c r="Q4" s="6">
        <v>3.8655933703088201</v>
      </c>
      <c r="R4" s="6">
        <v>483.46499999999997</v>
      </c>
      <c r="S4" s="3">
        <v>1.04336707167059E-2</v>
      </c>
    </row>
    <row r="5" spans="1:19" x14ac:dyDescent="0.2">
      <c r="A5" t="s">
        <v>85</v>
      </c>
      <c r="B5" s="6">
        <v>82.316000000000003</v>
      </c>
      <c r="C5" s="6">
        <v>8.0919112099999992</v>
      </c>
      <c r="D5">
        <v>284</v>
      </c>
      <c r="E5" s="4">
        <v>247.41499999999999</v>
      </c>
      <c r="H5" t="s">
        <v>85</v>
      </c>
      <c r="I5" s="11">
        <f>1000*'By site'!K4/'By site'!CD4</f>
        <v>6.1276230429662357</v>
      </c>
      <c r="J5" s="11">
        <v>5.3150170000000001</v>
      </c>
      <c r="K5" s="9">
        <f t="shared" si="0"/>
        <v>0.86738641765847391</v>
      </c>
      <c r="M5" t="s">
        <v>85</v>
      </c>
      <c r="N5">
        <v>9380</v>
      </c>
      <c r="O5">
        <v>284</v>
      </c>
      <c r="P5">
        <v>239</v>
      </c>
      <c r="Q5" s="6">
        <v>2.85575692963753</v>
      </c>
      <c r="R5" s="6">
        <v>101.235</v>
      </c>
      <c r="S5" s="3">
        <v>1.07926439232409E-2</v>
      </c>
    </row>
    <row r="6" spans="1:19" x14ac:dyDescent="0.2">
      <c r="A6" t="s">
        <v>87</v>
      </c>
      <c r="B6" s="6">
        <v>68.239000000000004</v>
      </c>
      <c r="C6" s="6">
        <v>11.8134085</v>
      </c>
      <c r="D6">
        <v>416</v>
      </c>
      <c r="E6" s="4">
        <v>360.45499999999998</v>
      </c>
      <c r="H6" t="s">
        <v>87</v>
      </c>
      <c r="I6" s="11">
        <f>1000*'By site'!K5/'By site'!CD5</f>
        <v>6.2349792015267536</v>
      </c>
      <c r="J6" s="11">
        <v>7.7005670000000004</v>
      </c>
      <c r="K6" s="9">
        <f t="shared" si="0"/>
        <v>1.2350589715061711</v>
      </c>
      <c r="M6" t="s">
        <v>87</v>
      </c>
      <c r="N6">
        <v>10432</v>
      </c>
      <c r="O6">
        <v>416</v>
      </c>
      <c r="P6">
        <v>296</v>
      </c>
      <c r="Q6" s="6">
        <v>4.82716641104295</v>
      </c>
      <c r="R6" s="6">
        <v>124.633</v>
      </c>
      <c r="S6" s="3">
        <v>1.1947181748466301E-2</v>
      </c>
    </row>
    <row r="7" spans="1:19" x14ac:dyDescent="0.2">
      <c r="A7" t="s">
        <v>86</v>
      </c>
      <c r="B7" s="6">
        <v>78.149000000000001</v>
      </c>
      <c r="C7" s="6">
        <v>23.348039</v>
      </c>
      <c r="D7">
        <v>334</v>
      </c>
      <c r="E7" s="4">
        <v>274.88900000000001</v>
      </c>
      <c r="H7" t="s">
        <v>86</v>
      </c>
      <c r="I7" s="11">
        <f>1000*'By site'!K6/'By site'!CD6</f>
        <v>6.0949560498492064</v>
      </c>
      <c r="J7" s="11">
        <v>7.4984510000000002</v>
      </c>
      <c r="K7" s="9">
        <f t="shared" si="0"/>
        <v>1.2302715456308364</v>
      </c>
      <c r="M7" t="s">
        <v>86</v>
      </c>
      <c r="N7">
        <v>10777</v>
      </c>
      <c r="O7">
        <v>334</v>
      </c>
      <c r="P7">
        <v>232</v>
      </c>
      <c r="Q7" s="6">
        <v>4.7946552844019701</v>
      </c>
      <c r="R7" s="6">
        <v>92.781000000000006</v>
      </c>
      <c r="S7" s="3">
        <v>8.6091676718938505E-3</v>
      </c>
    </row>
    <row r="8" spans="1:19" x14ac:dyDescent="0.2">
      <c r="A8" t="s">
        <v>88</v>
      </c>
      <c r="B8" s="6">
        <v>40.481000000000002</v>
      </c>
      <c r="C8" s="6">
        <v>9</v>
      </c>
      <c r="D8">
        <v>77</v>
      </c>
      <c r="E8" s="4">
        <v>69.063000000000002</v>
      </c>
      <c r="H8" t="s">
        <v>88</v>
      </c>
      <c r="I8" s="11">
        <f>1000*'By site'!K7/'By site'!CD7</f>
        <v>0.20954613585720092</v>
      </c>
      <c r="J8" s="11">
        <v>0.52104099999999998</v>
      </c>
      <c r="K8" s="9">
        <f t="shared" si="0"/>
        <v>2.4865216333794531</v>
      </c>
      <c r="M8" t="s">
        <v>88</v>
      </c>
      <c r="N8">
        <v>23779</v>
      </c>
      <c r="O8">
        <v>77</v>
      </c>
      <c r="P8">
        <v>40</v>
      </c>
      <c r="Q8" s="6">
        <v>1.9552546364439201</v>
      </c>
      <c r="R8" s="6">
        <v>15.063000000000001</v>
      </c>
      <c r="S8" s="3">
        <v>6.3345809327557904E-4</v>
      </c>
    </row>
    <row r="9" spans="1:19" x14ac:dyDescent="0.2">
      <c r="A9" t="s">
        <v>89</v>
      </c>
      <c r="B9" s="6">
        <v>40.927999999999997</v>
      </c>
      <c r="C9" s="6">
        <v>11</v>
      </c>
      <c r="D9">
        <v>86</v>
      </c>
      <c r="E9" s="4">
        <v>80.231999999999999</v>
      </c>
      <c r="H9" t="s">
        <v>89</v>
      </c>
      <c r="I9" s="11">
        <f>1000*'By site'!K8/'By site'!CD8</f>
        <v>0.30976166208979133</v>
      </c>
      <c r="J9" s="11">
        <v>0.53992899999999999</v>
      </c>
      <c r="K9" s="9">
        <f t="shared" si="0"/>
        <v>1.7430465615318449</v>
      </c>
      <c r="M9" t="s">
        <v>89</v>
      </c>
      <c r="N9">
        <v>23103</v>
      </c>
      <c r="O9">
        <v>86</v>
      </c>
      <c r="P9">
        <v>54</v>
      </c>
      <c r="Q9" s="6">
        <v>4.7679522139981803</v>
      </c>
      <c r="R9" s="6">
        <v>15.961</v>
      </c>
      <c r="S9" s="3">
        <v>6.9086265852919503E-4</v>
      </c>
    </row>
    <row r="10" spans="1:19" x14ac:dyDescent="0.2">
      <c r="A10" t="s">
        <v>91</v>
      </c>
      <c r="B10" s="6">
        <v>35.770000000000003</v>
      </c>
      <c r="C10" s="6">
        <v>23.632191899999999</v>
      </c>
      <c r="D10">
        <v>94</v>
      </c>
      <c r="E10" s="4">
        <v>90.563999999999993</v>
      </c>
      <c r="H10" t="s">
        <v>91</v>
      </c>
      <c r="I10" s="11">
        <f>1000*'By site'!K9/'By site'!CD9</f>
        <v>0.35380735175756123</v>
      </c>
      <c r="J10" s="11">
        <v>0.54591699999999999</v>
      </c>
      <c r="K10" s="9">
        <f t="shared" si="0"/>
        <v>1.5429781130553717</v>
      </c>
      <c r="M10" t="s">
        <v>91</v>
      </c>
      <c r="N10">
        <v>15992</v>
      </c>
      <c r="O10">
        <v>94</v>
      </c>
      <c r="P10">
        <v>39</v>
      </c>
      <c r="Q10" s="6">
        <v>7.4688594297148603</v>
      </c>
      <c r="R10" s="6">
        <v>13.333</v>
      </c>
      <c r="S10" s="3">
        <v>8.3372936468234103E-4</v>
      </c>
    </row>
    <row r="11" spans="1:19" x14ac:dyDescent="0.2">
      <c r="A11" t="s">
        <v>90</v>
      </c>
      <c r="B11" s="6">
        <v>41.384999999999998</v>
      </c>
      <c r="C11" s="6">
        <v>20.646401600000001</v>
      </c>
      <c r="D11">
        <v>48</v>
      </c>
      <c r="E11" s="4">
        <v>45.034999999999997</v>
      </c>
      <c r="H11" t="s">
        <v>90</v>
      </c>
      <c r="I11" s="11">
        <f>1000*'By site'!K10/'By site'!CD10</f>
        <v>0.27576139902140961</v>
      </c>
      <c r="J11" s="11">
        <v>0.52352500000000002</v>
      </c>
      <c r="K11" s="9">
        <f t="shared" si="0"/>
        <v>1.8984709312391996</v>
      </c>
      <c r="M11" t="s">
        <v>90</v>
      </c>
      <c r="N11">
        <v>16579</v>
      </c>
      <c r="O11">
        <v>48</v>
      </c>
      <c r="P11">
        <v>27</v>
      </c>
      <c r="Q11" s="6">
        <v>7.2219675493093698</v>
      </c>
      <c r="R11" s="6">
        <v>8.0850000000000009</v>
      </c>
      <c r="S11" s="3">
        <v>4.8766511852343301E-4</v>
      </c>
    </row>
    <row r="12" spans="1:19" x14ac:dyDescent="0.2">
      <c r="A12" t="s">
        <v>92</v>
      </c>
      <c r="B12" s="6">
        <v>23.31</v>
      </c>
      <c r="C12" s="6">
        <v>15.958829700000001</v>
      </c>
      <c r="D12">
        <v>47</v>
      </c>
      <c r="E12" s="4">
        <v>41.168999999999997</v>
      </c>
      <c r="H12" t="s">
        <v>92</v>
      </c>
      <c r="I12" s="11">
        <f>1000*'By site'!K11/'By site'!CD11</f>
        <v>0.20820187602300366</v>
      </c>
      <c r="J12" s="11">
        <v>0.50917599999999996</v>
      </c>
      <c r="K12" s="9">
        <f t="shared" si="0"/>
        <v>2.4455879539901093</v>
      </c>
      <c r="M12" t="s">
        <v>92</v>
      </c>
      <c r="N12">
        <v>16743</v>
      </c>
      <c r="O12">
        <v>47</v>
      </c>
      <c r="P12">
        <v>35</v>
      </c>
      <c r="Q12" s="6">
        <v>3.5712237950188102</v>
      </c>
      <c r="R12" s="6">
        <v>15.747999999999999</v>
      </c>
      <c r="S12" s="3">
        <v>9.4057217941826397E-4</v>
      </c>
    </row>
    <row r="13" spans="1:19" x14ac:dyDescent="0.2">
      <c r="A13" t="s">
        <v>93</v>
      </c>
      <c r="B13" s="6">
        <v>73.004000000000005</v>
      </c>
      <c r="C13" s="6">
        <v>11.1023447</v>
      </c>
      <c r="D13">
        <v>34</v>
      </c>
      <c r="E13" s="4">
        <v>27.399000000000001</v>
      </c>
      <c r="H13" t="s">
        <v>93</v>
      </c>
      <c r="I13" s="11">
        <f>1000*'By site'!K12/'By site'!CD12</f>
        <v>2.0054687273338159</v>
      </c>
      <c r="J13" s="11">
        <v>4.579421</v>
      </c>
      <c r="K13" s="9">
        <f t="shared" si="0"/>
        <v>2.2834666716983127</v>
      </c>
      <c r="M13" t="s">
        <v>93</v>
      </c>
      <c r="N13">
        <v>7254</v>
      </c>
      <c r="O13">
        <v>34</v>
      </c>
      <c r="P13">
        <v>27</v>
      </c>
      <c r="Q13" s="6">
        <v>5.0860215053763396</v>
      </c>
      <c r="R13" s="6">
        <v>8.4990000000000006</v>
      </c>
      <c r="S13" s="3">
        <v>1.1716294458229901E-3</v>
      </c>
    </row>
    <row r="14" spans="1:19" x14ac:dyDescent="0.2">
      <c r="A14" t="s">
        <v>94</v>
      </c>
      <c r="B14" s="6">
        <v>66.960999999999999</v>
      </c>
      <c r="C14" s="6">
        <v>10.160212599999999</v>
      </c>
      <c r="D14">
        <v>40</v>
      </c>
      <c r="E14" s="4">
        <v>31.524999999999999</v>
      </c>
      <c r="H14" t="s">
        <v>94</v>
      </c>
      <c r="I14" s="11">
        <f>1000*'By site'!K13/'By site'!CD13</f>
        <v>2.0146506103738195</v>
      </c>
      <c r="J14" s="11">
        <v>4.605823</v>
      </c>
      <c r="K14" s="9">
        <f t="shared" si="0"/>
        <v>2.2861646462586318</v>
      </c>
      <c r="M14" t="s">
        <v>94</v>
      </c>
      <c r="N14">
        <v>7265</v>
      </c>
      <c r="O14">
        <v>40</v>
      </c>
      <c r="P14">
        <v>33</v>
      </c>
      <c r="Q14" s="6">
        <v>5.8016517549896802</v>
      </c>
      <c r="R14" s="6">
        <v>8.4909999999999997</v>
      </c>
      <c r="S14" s="3">
        <v>1.1687543014452901E-3</v>
      </c>
    </row>
    <row r="15" spans="1:19" x14ac:dyDescent="0.2">
      <c r="A15" t="s">
        <v>95</v>
      </c>
      <c r="B15" s="6">
        <v>118.15</v>
      </c>
      <c r="C15" s="6">
        <v>92.241416200000003</v>
      </c>
      <c r="D15">
        <v>64</v>
      </c>
      <c r="E15" s="4">
        <v>62</v>
      </c>
      <c r="H15" t="s">
        <v>95</v>
      </c>
      <c r="I15" s="11">
        <f>1000*'By site'!K14/'By site'!CD14</f>
        <v>3.9334964797278733</v>
      </c>
      <c r="J15" s="11">
        <v>1.678679</v>
      </c>
      <c r="K15" s="9">
        <f t="shared" si="0"/>
        <v>0.42676509529153922</v>
      </c>
      <c r="M15" t="s">
        <v>95</v>
      </c>
      <c r="N15">
        <v>12801</v>
      </c>
      <c r="O15">
        <v>64</v>
      </c>
      <c r="P15">
        <v>43</v>
      </c>
      <c r="Q15" s="6">
        <v>1.72603702835716</v>
      </c>
      <c r="R15" s="6">
        <v>29.53</v>
      </c>
      <c r="S15" s="3">
        <v>2.3068510272635E-3</v>
      </c>
    </row>
    <row r="16" spans="1:19" x14ac:dyDescent="0.2">
      <c r="A16" t="s">
        <v>83</v>
      </c>
      <c r="B16" s="6">
        <v>52.276000000000003</v>
      </c>
      <c r="C16" s="6">
        <v>8.3545392399999994</v>
      </c>
      <c r="D16">
        <v>56</v>
      </c>
      <c r="E16" s="4">
        <v>41.320999999999998</v>
      </c>
      <c r="H16" t="s">
        <v>83</v>
      </c>
      <c r="I16" s="11">
        <f>1000*'By site'!K15/'By site'!CD15</f>
        <v>3.0595424391411652</v>
      </c>
      <c r="J16" s="11">
        <v>3.5916640000000002</v>
      </c>
      <c r="K16" s="9">
        <f t="shared" si="0"/>
        <v>1.1739219414155946</v>
      </c>
      <c r="M16" t="s">
        <v>83</v>
      </c>
      <c r="N16">
        <v>5371</v>
      </c>
      <c r="O16">
        <v>56</v>
      </c>
      <c r="P16">
        <v>42</v>
      </c>
      <c r="Q16" s="6">
        <v>3.5211320052131798</v>
      </c>
      <c r="R16" s="6">
        <v>24.904</v>
      </c>
      <c r="S16" s="3">
        <v>4.6367529324148199E-3</v>
      </c>
    </row>
    <row r="17" spans="1:23" x14ac:dyDescent="0.2">
      <c r="A17" t="s">
        <v>96</v>
      </c>
      <c r="B17" s="6">
        <v>45.47</v>
      </c>
      <c r="C17" s="6">
        <v>6.5248198687447001</v>
      </c>
      <c r="D17">
        <v>80</v>
      </c>
      <c r="E17" s="4">
        <v>79.965000000000003</v>
      </c>
      <c r="H17" t="s">
        <v>96</v>
      </c>
      <c r="I17" s="11">
        <f>1000*'By site'!K16/'By site'!CD16</f>
        <v>3.4493308980416448</v>
      </c>
      <c r="J17" s="11">
        <v>1.6910879999999999</v>
      </c>
      <c r="K17" s="9">
        <f t="shared" si="0"/>
        <v>0.49026551815023428</v>
      </c>
      <c r="M17" t="s">
        <v>96</v>
      </c>
      <c r="N17">
        <v>4560</v>
      </c>
      <c r="O17">
        <v>80</v>
      </c>
      <c r="P17">
        <v>49</v>
      </c>
      <c r="Q17" s="6">
        <v>1.8530701754386001</v>
      </c>
      <c r="R17" s="6">
        <v>40.003</v>
      </c>
      <c r="S17" s="3">
        <v>8.7725877192982495E-3</v>
      </c>
    </row>
    <row r="18" spans="1:23" x14ac:dyDescent="0.2">
      <c r="A18" t="s">
        <v>97</v>
      </c>
      <c r="B18" s="6">
        <v>57.667999999999999</v>
      </c>
      <c r="C18" s="6">
        <v>16.353133799999998</v>
      </c>
      <c r="D18">
        <v>1052</v>
      </c>
      <c r="E18" s="4">
        <v>998.61300000000006</v>
      </c>
      <c r="H18" t="s">
        <v>97</v>
      </c>
      <c r="I18">
        <f>1000*'By site'!K17/'By site'!CD17</f>
        <v>13.437220073583156</v>
      </c>
      <c r="M18" t="s">
        <v>97</v>
      </c>
      <c r="N18">
        <v>9404</v>
      </c>
      <c r="O18">
        <v>1052</v>
      </c>
      <c r="P18">
        <v>540</v>
      </c>
      <c r="Q18" s="6">
        <v>8.8941939600170201</v>
      </c>
      <c r="R18" s="6">
        <v>166.91800000000001</v>
      </c>
      <c r="S18" s="3">
        <v>1.77496809868141E-2</v>
      </c>
    </row>
    <row r="19" spans="1:23" x14ac:dyDescent="0.2">
      <c r="A19" t="s">
        <v>98</v>
      </c>
      <c r="B19" s="6">
        <v>53.091000000000001</v>
      </c>
      <c r="C19" s="6">
        <v>16.353133799999998</v>
      </c>
      <c r="D19">
        <v>922</v>
      </c>
      <c r="E19" s="4">
        <v>875.85199999999998</v>
      </c>
      <c r="H19" t="s">
        <v>98</v>
      </c>
      <c r="I19">
        <f>1000*'By site'!K18/'By site'!CD18</f>
        <v>16.44429505694082</v>
      </c>
      <c r="M19" t="s">
        <v>98</v>
      </c>
      <c r="N19">
        <v>4358</v>
      </c>
      <c r="O19">
        <v>922</v>
      </c>
      <c r="P19">
        <v>447</v>
      </c>
      <c r="Q19" s="6">
        <v>12.681964203763201</v>
      </c>
      <c r="R19" s="6">
        <v>117.84</v>
      </c>
      <c r="S19" s="3">
        <v>2.7039926571821901E-2</v>
      </c>
    </row>
    <row r="20" spans="1:23" x14ac:dyDescent="0.2">
      <c r="A20" t="s">
        <v>99</v>
      </c>
      <c r="B20" s="6">
        <v>110.343</v>
      </c>
      <c r="C20" s="6">
        <v>16.353133799999998</v>
      </c>
      <c r="D20">
        <v>130</v>
      </c>
      <c r="E20" s="4">
        <v>124.303</v>
      </c>
      <c r="H20" t="s">
        <v>99</v>
      </c>
      <c r="I20">
        <f>1000*'By site'!K19/'By site'!CD19</f>
        <v>10.949070482470207</v>
      </c>
      <c r="M20" t="s">
        <v>99</v>
      </c>
      <c r="N20">
        <v>5045</v>
      </c>
      <c r="O20">
        <v>130</v>
      </c>
      <c r="P20">
        <v>93</v>
      </c>
      <c r="Q20" s="6">
        <v>5.6239841427155604</v>
      </c>
      <c r="R20" s="6">
        <v>49.073</v>
      </c>
      <c r="S20" s="3">
        <v>9.7270564915758195E-3</v>
      </c>
    </row>
    <row r="21" spans="1:23" x14ac:dyDescent="0.2">
      <c r="A21" t="s">
        <v>123</v>
      </c>
      <c r="B21" s="6">
        <v>495.44525599999997</v>
      </c>
      <c r="C21" s="6">
        <v>495.44525599999997</v>
      </c>
      <c r="D21">
        <v>12</v>
      </c>
      <c r="E21" s="4">
        <v>11</v>
      </c>
      <c r="H21" t="s">
        <v>123</v>
      </c>
      <c r="I21">
        <f>1000*'By site'!K20/'By site'!CD20</f>
        <v>10.028915832329652</v>
      </c>
      <c r="M21" t="s">
        <v>123</v>
      </c>
      <c r="N21">
        <v>2381</v>
      </c>
      <c r="O21">
        <v>12</v>
      </c>
      <c r="P21">
        <v>12</v>
      </c>
      <c r="Q21" s="6">
        <v>1.3481730365392699</v>
      </c>
      <c r="R21" s="6">
        <v>11.46</v>
      </c>
      <c r="S21" s="3">
        <v>4.81310373792524E-3</v>
      </c>
    </row>
    <row r="23" spans="1:23" x14ac:dyDescent="0.2">
      <c r="A23" s="22" t="s">
        <v>192</v>
      </c>
      <c r="B23" t="s">
        <v>193</v>
      </c>
      <c r="C23" t="str" cm="1">
        <f t="array" ref="C23:C42">'By site'!Z1:Z20</f>
        <v>Total covered production (t(CH4)/hr)</v>
      </c>
      <c r="D23" t="s">
        <v>194</v>
      </c>
      <c r="G23" s="22" t="s">
        <v>197</v>
      </c>
      <c r="H23" t="s">
        <v>198</v>
      </c>
      <c r="I23" t="s">
        <v>199</v>
      </c>
      <c r="J23" t="s">
        <v>200</v>
      </c>
      <c r="K23" t="s">
        <v>201</v>
      </c>
      <c r="N23" s="22" t="s">
        <v>202</v>
      </c>
      <c r="O23" t="s">
        <v>203</v>
      </c>
      <c r="P23" t="s">
        <v>204</v>
      </c>
      <c r="Q23" t="s">
        <v>205</v>
      </c>
      <c r="R23" t="s">
        <v>206</v>
      </c>
      <c r="T23" s="22" t="s">
        <v>207</v>
      </c>
      <c r="U23" t="s">
        <v>208</v>
      </c>
      <c r="V23" t="s">
        <v>209</v>
      </c>
      <c r="W23" t="s">
        <v>210</v>
      </c>
    </row>
    <row r="24" spans="1:23" x14ac:dyDescent="0.2">
      <c r="A24" t="s">
        <v>101</v>
      </c>
      <c r="B24" t="str">
        <f>ROUND('By site'!S2, 0) &amp; " ["  &amp; ROUND('By site'!T2, 0) &amp; ", " &amp; ROUND('By site'!U2, 0) &amp; "]"</f>
        <v>188 [176, 203]</v>
      </c>
      <c r="C24" s="4">
        <v>1952.04513368984</v>
      </c>
      <c r="D24" t="str">
        <f>ROUND('By site'!BJ2*100, 2) &amp; " ["  &amp; ROUND('By site'!BM2*100, 2) &amp; ", " &amp; ROUND('By site'!BN2*100, 2) &amp; "]"</f>
        <v>9.63 [9.04, 10.39]</v>
      </c>
      <c r="G24" t="s">
        <v>101</v>
      </c>
      <c r="H24" t="str">
        <f>ROUND('By site'!AX2*100, 2) &amp; CHAR(10) &amp; "["  &amp; ROUND('By site'!AY2*100, 2) &amp; ", " &amp; ROUND('By site'!AZ2*100, 2) &amp; "]"</f>
        <v>0.92
[0.88, 0.96]</v>
      </c>
      <c r="I24" t="str">
        <f>ROUND('By site'!BA2*100, 2) &amp; CHAR(10) &amp; "["  &amp; ROUND('By site'!BB2*100, 2) &amp; ", " &amp; ROUND('By site'!BC2*100, 2) &amp; "]"</f>
        <v>4.43
[3.88, 5.04]</v>
      </c>
      <c r="J24" t="str">
        <f>ROUND('By site'!BD2*100, 2) &amp; CHAR(10) &amp; "["  &amp; ROUND('By site'!BE2*100, 2) &amp; ", " &amp; ROUND('By site'!BF2*100, 2) &amp; "]"</f>
        <v>0.24
[0.17, 0.32]</v>
      </c>
      <c r="K24" t="str">
        <f>ROUND('By site'!BG2*100, 2) &amp; CHAR(10) &amp; "["  &amp; ROUND('By site'!BH2*100, 2) &amp; ", " &amp; ROUND('By site'!BI2*100, 2) &amp; "]"</f>
        <v>5.59
[5.3, 5.91]</v>
      </c>
      <c r="N24" t="s">
        <v>101</v>
      </c>
      <c r="O24" t="str">
        <f>ROUND('By site'!BU2*100, 2) &amp; CHAR(10) &amp; "["  &amp; ROUND('By site'!BV2*100, 2) &amp; ", " &amp; ROUND('By site'!BW2*100, 2) &amp; "]"</f>
        <v>0.38
[0.31, 0.45]</v>
      </c>
      <c r="P24" t="str">
        <f>ROUND('By site'!BO2*100, 2) &amp; CHAR(10) &amp; "["  &amp; ROUND('By site'!BP2*100, 2) &amp; ", " &amp; ROUND('By site'!BQ2*100, 2) &amp; "]"</f>
        <v>3.4
[2.99, 3.99]</v>
      </c>
      <c r="Q24" t="str">
        <f>ROUND('By site'!BR2*100, 2) &amp; CHAR(10) &amp; "["  &amp; ROUND('By site'!BS2*100, 2) &amp; ", " &amp; ROUND('By site'!BT2*100, 2) &amp; "]"</f>
        <v>0.25
[0.22, 0.29]</v>
      </c>
      <c r="R24" t="str">
        <f>ROUND('By site'!BX2*100, 2) &amp; CHAR(10) &amp; "["  &amp; ROUND('By site'!BY2*100, 2) &amp; ", " &amp; ROUND('By site'!BZ2*100, 2) &amp; "]"</f>
        <v>4.04
[3.56, 4.69]</v>
      </c>
      <c r="T24" t="s">
        <v>101</v>
      </c>
      <c r="U24" s="3" cm="1">
        <f t="array" ref="U24:U42">'By site'!BG2:BG20/'By site'!DL2:DL20</f>
        <v>1.200453307160494E-2</v>
      </c>
      <c r="V24" s="3" cm="1">
        <f t="array" ref="V24:V42">'By site'!DX2:DX20</f>
        <v>7.2701047721023199E-3</v>
      </c>
      <c r="W24" s="18">
        <f>(U24-V24)/V24</f>
        <v>0.65121871663667241</v>
      </c>
    </row>
    <row r="25" spans="1:23" x14ac:dyDescent="0.2">
      <c r="A25" t="s">
        <v>84</v>
      </c>
      <c r="B25" t="str">
        <f>ROUND('By site'!S3, 0) &amp; " ["  &amp; ROUND('By site'!T3, 0) &amp; ", " &amp; ROUND('By site'!U3, 0) &amp; "]"</f>
        <v>557 [534, 582]</v>
      </c>
      <c r="C25" s="4">
        <v>10526.8147291444</v>
      </c>
      <c r="D25" t="str">
        <f>ROUND('By site'!BJ3*100, 2) &amp; " ["  &amp; ROUND('By site'!BM3*100, 2) &amp; ", " &amp; ROUND('By site'!BN3*100, 2) &amp; "]"</f>
        <v>5.29 [5.08, 5.53]</v>
      </c>
      <c r="G25" t="s">
        <v>84</v>
      </c>
      <c r="H25" t="str">
        <f>ROUND('By site'!AX3*100, 2) &amp; CHAR(10) &amp; "["  &amp; ROUND('By site'!AY3*100, 2) &amp; ", " &amp; ROUND('By site'!AZ3*100, 2) &amp; "]"</f>
        <v>0.66
[0.64, 0.69]</v>
      </c>
      <c r="I25" t="str">
        <f>ROUND('By site'!BA3*100, 2) &amp; CHAR(10) &amp; "["  &amp; ROUND('By site'!BB3*100, 2) &amp; ", " &amp; ROUND('By site'!BC3*100, 2) &amp; "]"</f>
        <v>2.24
[2.07, 2.43]</v>
      </c>
      <c r="J25" t="str">
        <f>ROUND('By site'!BD3*100, 2) &amp; CHAR(10) &amp; "["  &amp; ROUND('By site'!BE3*100, 2) &amp; ", " &amp; ROUND('By site'!BF3*100, 2) &amp; "]"</f>
        <v>0
[0, 0]</v>
      </c>
      <c r="K25" t="str">
        <f>ROUND('By site'!BG3*100, 2) &amp; CHAR(10) &amp; "["  &amp; ROUND('By site'!BH3*100, 2) &amp; ", " &amp; ROUND('By site'!BI3*100, 2) &amp; "]"</f>
        <v>2.91
[2.82, 3]</v>
      </c>
      <c r="N25" t="s">
        <v>84</v>
      </c>
      <c r="O25" t="str">
        <f>ROUND('By site'!BU3*100, 2) &amp; CHAR(10) &amp; "["  &amp; ROUND('By site'!BV3*100, 2) &amp; ", " &amp; ROUND('By site'!BW3*100, 2) &amp; "]"</f>
        <v>0.36
[0.3, 0.43]</v>
      </c>
      <c r="P25" t="str">
        <f>ROUND('By site'!BO3*100, 2) &amp; CHAR(10) &amp; "["  &amp; ROUND('By site'!BP3*100, 2) &amp; ", " &amp; ROUND('By site'!BQ3*100, 2) &amp; "]"</f>
        <v>2.02
[1.89, 2.17]</v>
      </c>
      <c r="Q25" t="str">
        <f>ROUND('By site'!BR3*100, 2) &amp; CHAR(10) &amp; "["  &amp; ROUND('By site'!BS3*100, 2) &amp; ", " &amp; ROUND('By site'!BT3*100, 2) &amp; "]"</f>
        <v>0
[0, 0]</v>
      </c>
      <c r="R25" t="str">
        <f>ROUND('By site'!BX3*100, 2) &amp; CHAR(10) &amp; "["  &amp; ROUND('By site'!BY3*100, 2) &amp; ", " &amp; ROUND('By site'!BZ3*100, 2) &amp; "]"</f>
        <v>2.38
[2.19, 2.59]</v>
      </c>
      <c r="T25" t="s">
        <v>84</v>
      </c>
      <c r="U25" s="3">
        <v>7.9897404324497708E-3</v>
      </c>
      <c r="V25" s="3">
        <v>6.5124999847487302E-3</v>
      </c>
      <c r="W25" s="18">
        <f t="shared" ref="W25:W42" si="1">(U25-V25)/V25</f>
        <v>0.2268315472031493</v>
      </c>
    </row>
    <row r="26" spans="1:23" x14ac:dyDescent="0.2">
      <c r="A26" t="s">
        <v>85</v>
      </c>
      <c r="B26" t="str">
        <f>ROUND('By site'!S4, 0) &amp; " ["  &amp; ROUND('By site'!T4, 0) &amp; ", " &amp; ROUND('By site'!U4, 0) &amp; "]"</f>
        <v>134 [124, 145]</v>
      </c>
      <c r="C26" s="4">
        <v>4766.5263912834198</v>
      </c>
      <c r="D26" t="str">
        <f>ROUND('By site'!BJ4*100, 2) &amp; " ["  &amp; ROUND('By site'!BM4*100, 2) &amp; ", " &amp; ROUND('By site'!BN4*100, 2) &amp; "]"</f>
        <v>2.81 [2.6, 3.04]</v>
      </c>
      <c r="G26" t="s">
        <v>85</v>
      </c>
      <c r="H26" t="str">
        <f>ROUND('By site'!AX4*100, 2) &amp; CHAR(10) &amp; "["  &amp; ROUND('By site'!AY4*100, 2) &amp; ", " &amp; ROUND('By site'!AZ4*100, 2) &amp; "]"</f>
        <v>0.47
[0.44, 0.5]</v>
      </c>
      <c r="I26" t="str">
        <f>ROUND('By site'!BA4*100, 2) &amp; CHAR(10) &amp; "["  &amp; ROUND('By site'!BB4*100, 2) &amp; ", " &amp; ROUND('By site'!BC4*100, 2) &amp; "]"</f>
        <v>0.74
[0.62, 0.86]</v>
      </c>
      <c r="J26" t="str">
        <f>ROUND('By site'!BD4*100, 2) &amp; CHAR(10) &amp; "["  &amp; ROUND('By site'!BE4*100, 2) &amp; ", " &amp; ROUND('By site'!BF4*100, 2) &amp; "]"</f>
        <v>0
[0, 0]</v>
      </c>
      <c r="K26" t="str">
        <f>ROUND('By site'!BG4*100, 2) &amp; CHAR(10) &amp; "["  &amp; ROUND('By site'!BH4*100, 2) &amp; ", " &amp; ROUND('By site'!BI4*100, 2) &amp; "]"</f>
        <v>1.21
[1.13, 1.28]</v>
      </c>
      <c r="N26" t="s">
        <v>85</v>
      </c>
      <c r="O26" t="str">
        <f>ROUND('By site'!BU4*100, 2) &amp; CHAR(10) &amp; "["  &amp; ROUND('By site'!BV4*100, 2) &amp; ", " &amp; ROUND('By site'!BW4*100, 2) &amp; "]"</f>
        <v>0.34
[0.28, 0.41]</v>
      </c>
      <c r="P26" t="str">
        <f>ROUND('By site'!BO4*100, 2) &amp; CHAR(10) &amp; "["  &amp; ROUND('By site'!BP4*100, 2) &amp; ", " &amp; ROUND('By site'!BQ4*100, 2) &amp; "]"</f>
        <v>1.26
[1.12, 1.41]</v>
      </c>
      <c r="Q26" t="str">
        <f>ROUND('By site'!BR4*100, 2) &amp; CHAR(10) &amp; "["  &amp; ROUND('By site'!BS4*100, 2) &amp; ", " &amp; ROUND('By site'!BT4*100, 2) &amp; "]"</f>
        <v>0
[0, 0]</v>
      </c>
      <c r="R26" t="str">
        <f>ROUND('By site'!BX4*100, 2) &amp; CHAR(10) &amp; "["  &amp; ROUND('By site'!BY4*100, 2) &amp; ", " &amp; ROUND('By site'!BZ4*100, 2) &amp; "]"</f>
        <v>1.61
[1.41, 1.82]</v>
      </c>
      <c r="T26" t="s">
        <v>85</v>
      </c>
      <c r="U26" s="3">
        <v>5.6731686468050593E-3</v>
      </c>
      <c r="V26" s="3">
        <v>5.9587925946185498E-3</v>
      </c>
      <c r="W26" s="18">
        <f t="shared" si="1"/>
        <v>-4.7933191712603081E-2</v>
      </c>
    </row>
    <row r="27" spans="1:23" x14ac:dyDescent="0.2">
      <c r="A27" t="s">
        <v>87</v>
      </c>
      <c r="B27" t="str">
        <f>ROUND('By site'!S5, 0) &amp; " ["  &amp; ROUND('By site'!T5, 0) &amp; ", " &amp; ROUND('By site'!U5, 0) &amp; "]"</f>
        <v>130 [122, 139]</v>
      </c>
      <c r="C27" s="4">
        <v>5950.4296949999998</v>
      </c>
      <c r="D27" t="str">
        <f>ROUND('By site'!BJ5*100, 2) &amp; " ["  &amp; ROUND('By site'!BM5*100, 2) &amp; ", " &amp; ROUND('By site'!BN5*100, 2) &amp; "]"</f>
        <v>2.19 [2.05, 2.34]</v>
      </c>
      <c r="G27" t="s">
        <v>87</v>
      </c>
      <c r="H27" t="str">
        <f>ROUND('By site'!AX5*100, 2) &amp; CHAR(10) &amp; "["  &amp; ROUND('By site'!AY5*100, 2) &amp; ", " &amp; ROUND('By site'!AZ5*100, 2) &amp; "]"</f>
        <v>0.47
[0.44, 0.5]</v>
      </c>
      <c r="I27" t="str">
        <f>ROUND('By site'!BA5*100, 2) &amp; CHAR(10) &amp; "["  &amp; ROUND('By site'!BB5*100, 2) &amp; ", " &amp; ROUND('By site'!BC5*100, 2) &amp; "]"</f>
        <v>0.62
[0.51, 0.75]</v>
      </c>
      <c r="J27" t="str">
        <f>ROUND('By site'!BD5*100, 2) &amp; CHAR(10) &amp; "["  &amp; ROUND('By site'!BE5*100, 2) &amp; ", " &amp; ROUND('By site'!BF5*100, 2) &amp; "]"</f>
        <v>0
[0, 0]</v>
      </c>
      <c r="K27" t="str">
        <f>ROUND('By site'!BG5*100, 2) &amp; CHAR(10) &amp; "["  &amp; ROUND('By site'!BH5*100, 2) &amp; ", " &amp; ROUND('By site'!BI5*100, 2) &amp; "]"</f>
        <v>1.09
[1.04, 1.15]</v>
      </c>
      <c r="N27" t="s">
        <v>87</v>
      </c>
      <c r="O27" t="str">
        <f>ROUND('By site'!BU5*100, 2) &amp; CHAR(10) &amp; "["  &amp; ROUND('By site'!BV5*100, 2) &amp; ", " &amp; ROUND('By site'!BW5*100, 2) &amp; "]"</f>
        <v>0.34
[0.28, 0.41]</v>
      </c>
      <c r="P27" t="str">
        <f>ROUND('By site'!BO5*100, 2) &amp; CHAR(10) &amp; "["  &amp; ROUND('By site'!BP5*100, 2) &amp; ", " &amp; ROUND('By site'!BQ5*100, 2) &amp; "]"</f>
        <v>0.76
[0.7, 0.83]</v>
      </c>
      <c r="Q27" t="str">
        <f>ROUND('By site'!BR5*100, 2) &amp; CHAR(10) &amp; "["  &amp; ROUND('By site'!BS5*100, 2) &amp; ", " &amp; ROUND('By site'!BT5*100, 2) &amp; "]"</f>
        <v>0
[0, 0]</v>
      </c>
      <c r="R27" t="str">
        <f>ROUND('By site'!BX5*100, 2) &amp; CHAR(10) &amp; "["  &amp; ROUND('By site'!BY5*100, 2) &amp; ", " &amp; ROUND('By site'!BZ5*100, 2) &amp; "]"</f>
        <v>1.1
[0.98, 1.23]</v>
      </c>
      <c r="T27" t="s">
        <v>87</v>
      </c>
      <c r="U27" s="3">
        <v>5.8731666074106478E-3</v>
      </c>
      <c r="V27" s="3">
        <v>5.9587925946185498E-3</v>
      </c>
      <c r="W27" s="18">
        <f t="shared" si="1"/>
        <v>-1.4369687457360364E-2</v>
      </c>
    </row>
    <row r="28" spans="1:23" x14ac:dyDescent="0.2">
      <c r="A28" t="s">
        <v>86</v>
      </c>
      <c r="B28" t="str">
        <f>ROUND('By site'!S6, 0) &amp; " ["  &amp; ROUND('By site'!T6, 0) &amp; ", " &amp; ROUND('By site'!U6, 0) &amp; "]"</f>
        <v>131 [121, 142]</v>
      </c>
      <c r="C28" s="4">
        <v>6227.8408195989296</v>
      </c>
      <c r="D28" t="str">
        <f>ROUND('By site'!BJ6*100, 2) &amp; " ["  &amp; ROUND('By site'!BM6*100, 2) &amp; ", " &amp; ROUND('By site'!BN6*100, 2) &amp; "]"</f>
        <v>2.1 [1.94, 2.27]</v>
      </c>
      <c r="G28" t="s">
        <v>86</v>
      </c>
      <c r="H28" t="str">
        <f>ROUND('By site'!AX6*100, 2) &amp; CHAR(10) &amp; "["  &amp; ROUND('By site'!AY6*100, 2) &amp; ", " &amp; ROUND('By site'!AZ6*100, 2) &amp; "]"</f>
        <v>0.49
[0.46, 0.52]</v>
      </c>
      <c r="I28" t="str">
        <f>ROUND('By site'!BA6*100, 2) &amp; CHAR(10) &amp; "["  &amp; ROUND('By site'!BB6*100, 2) &amp; ", " &amp; ROUND('By site'!BC6*100, 2) &amp; "]"</f>
        <v>0.57
[0.44, 0.71]</v>
      </c>
      <c r="J28" t="str">
        <f>ROUND('By site'!BD6*100, 2) &amp; CHAR(10) &amp; "["  &amp; ROUND('By site'!BE6*100, 2) &amp; ", " &amp; ROUND('By site'!BF6*100, 2) &amp; "]"</f>
        <v>0
[0, 0]</v>
      </c>
      <c r="K28" t="str">
        <f>ROUND('By site'!BG6*100, 2) &amp; CHAR(10) &amp; "["  &amp; ROUND('By site'!BH6*100, 2) &amp; ", " &amp; ROUND('By site'!BI6*100, 2) &amp; "]"</f>
        <v>1.05
[1, 1.12]</v>
      </c>
      <c r="N28" t="s">
        <v>86</v>
      </c>
      <c r="O28" t="str">
        <f>ROUND('By site'!BU6*100, 2) &amp; CHAR(10) &amp; "["  &amp; ROUND('By site'!BV6*100, 2) &amp; ", " &amp; ROUND('By site'!BW6*100, 2) &amp; "]"</f>
        <v>0.34
[0.28, 0.41]</v>
      </c>
      <c r="P28" t="str">
        <f>ROUND('By site'!BO6*100, 2) &amp; CHAR(10) &amp; "["  &amp; ROUND('By site'!BP6*100, 2) &amp; ", " &amp; ROUND('By site'!BQ6*100, 2) &amp; "]"</f>
        <v>0.71
[0.63, 0.79]</v>
      </c>
      <c r="Q28" t="str">
        <f>ROUND('By site'!BR6*100, 2) &amp; CHAR(10) &amp; "["  &amp; ROUND('By site'!BS6*100, 2) &amp; ", " &amp; ROUND('By site'!BT6*100, 2) &amp; "]"</f>
        <v>0
[0, 0]</v>
      </c>
      <c r="R28" t="str">
        <f>ROUND('By site'!BX6*100, 2) &amp; CHAR(10) &amp; "["  &amp; ROUND('By site'!BY6*100, 2) &amp; ", " &amp; ROUND('By site'!BZ6*100, 2) &amp; "]"</f>
        <v>1.05
[0.91, 1.2]</v>
      </c>
      <c r="T28" t="s">
        <v>86</v>
      </c>
      <c r="U28" s="3">
        <v>5.9027768234827631E-3</v>
      </c>
      <c r="V28" s="3">
        <v>5.9587925946185498E-3</v>
      </c>
      <c r="W28" s="18">
        <f t="shared" si="1"/>
        <v>-9.400523721261109E-3</v>
      </c>
    </row>
    <row r="29" spans="1:23" x14ac:dyDescent="0.2">
      <c r="A29" t="s">
        <v>88</v>
      </c>
      <c r="B29" t="str">
        <f>ROUND('By site'!S7, 0) &amp; " ["  &amp; ROUND('By site'!T7, 0) &amp; ", " &amp; ROUND('By site'!U7, 0) &amp; "]"</f>
        <v>11 [9, 13]</v>
      </c>
      <c r="C29" s="4">
        <v>264.97395591978602</v>
      </c>
      <c r="D29" t="str">
        <f>ROUND('By site'!BJ7*100, 2) &amp; " ["  &amp; ROUND('By site'!BM7*100, 2) &amp; ", " &amp; ROUND('By site'!BN7*100, 2) &amp; "]"</f>
        <v>4.13 [3.52, 4.86]</v>
      </c>
      <c r="G29" t="s">
        <v>88</v>
      </c>
      <c r="H29" t="str">
        <f>ROUND('By site'!AX7*100, 2) &amp; CHAR(10) &amp; "["  &amp; ROUND('By site'!AY7*100, 2) &amp; ", " &amp; ROUND('By site'!AZ7*100, 2) &amp; "]"</f>
        <v>0.98
[0.92, 1.04]</v>
      </c>
      <c r="I29" t="str">
        <f>ROUND('By site'!BA7*100, 2) &amp; CHAR(10) &amp; "["  &amp; ROUND('By site'!BB7*100, 2) &amp; ", " &amp; ROUND('By site'!BC7*100, 2) &amp; "]"</f>
        <v>0.9
[0.51, 1.36]</v>
      </c>
      <c r="J29" t="str">
        <f>ROUND('By site'!BD7*100, 2) &amp; CHAR(10) &amp; "["  &amp; ROUND('By site'!BE7*100, 2) &amp; ", " &amp; ROUND('By site'!BF7*100, 2) &amp; "]"</f>
        <v>0
[0, 0]</v>
      </c>
      <c r="K29" t="str">
        <f>ROUND('By site'!BG7*100, 2) &amp; CHAR(10) &amp; "["  &amp; ROUND('By site'!BH7*100, 2) &amp; ", " &amp; ROUND('By site'!BI7*100, 2) &amp; "]"</f>
        <v>1.88
[1.59, 2.21]</v>
      </c>
      <c r="N29" t="s">
        <v>88</v>
      </c>
      <c r="O29" t="str">
        <f>ROUND('By site'!BU7*100, 2) &amp; CHAR(10) &amp; "["  &amp; ROUND('By site'!BV7*100, 2) &amp; ", " &amp; ROUND('By site'!BW7*100, 2) &amp; "]"</f>
        <v>0.45
[0.37, 0.53]</v>
      </c>
      <c r="P29" t="str">
        <f>ROUND('By site'!BO7*100, 2) &amp; CHAR(10) &amp; "["  &amp; ROUND('By site'!BP7*100, 2) &amp; ", " &amp; ROUND('By site'!BQ7*100, 2) &amp; "]"</f>
        <v>1.8
[1.39, 2.36]</v>
      </c>
      <c r="Q29" t="str">
        <f>ROUND('By site'!BR7*100, 2) &amp; CHAR(10) &amp; "["  &amp; ROUND('By site'!BS7*100, 2) &amp; ", " &amp; ROUND('By site'!BT7*100, 2) &amp; "]"</f>
        <v>0
[0, 0]</v>
      </c>
      <c r="R29" t="str">
        <f>ROUND('By site'!BX7*100, 2) &amp; CHAR(10) &amp; "["  &amp; ROUND('By site'!BY7*100, 2) &amp; ", " &amp; ROUND('By site'!BZ7*100, 2) &amp; "]"</f>
        <v>2.25
[1.76, 2.89]</v>
      </c>
      <c r="T29" t="s">
        <v>88</v>
      </c>
      <c r="U29" s="3">
        <v>9.8807046876994292E-3</v>
      </c>
      <c r="V29" s="3">
        <v>5.1203661661178103E-2</v>
      </c>
      <c r="W29" s="18">
        <f t="shared" si="1"/>
        <v>-0.80703128707705607</v>
      </c>
    </row>
    <row r="30" spans="1:23" x14ac:dyDescent="0.2">
      <c r="A30" t="s">
        <v>89</v>
      </c>
      <c r="B30" t="str">
        <f>ROUND('By site'!S8, 0) &amp; " ["  &amp; ROUND('By site'!T8, 0) &amp; ", " &amp; ROUND('By site'!U8, 0) &amp; "]"</f>
        <v>16 [14, 18]</v>
      </c>
      <c r="C30" s="4">
        <v>284.66581394117702</v>
      </c>
      <c r="D30" t="str">
        <f>ROUND('By site'!BJ8*100, 2) &amp; " ["  &amp; ROUND('By site'!BM8*100, 2) &amp; ", " &amp; ROUND('By site'!BN8*100, 2) &amp; "]"</f>
        <v>5.56 [4.96, 6.25]</v>
      </c>
      <c r="G30" t="s">
        <v>89</v>
      </c>
      <c r="H30" t="str">
        <f>ROUND('By site'!AX8*100, 2) &amp; CHAR(10) &amp; "["  &amp; ROUND('By site'!AY8*100, 2) &amp; ", " &amp; ROUND('By site'!AZ8*100, 2) &amp; "]"</f>
        <v>0.94
[0.88, 1]</v>
      </c>
      <c r="I30" t="str">
        <f>ROUND('By site'!BA8*100, 2) &amp; CHAR(10) &amp; "["  &amp; ROUND('By site'!BB8*100, 2) &amp; ", " &amp; ROUND('By site'!BC8*100, 2) &amp; "]"</f>
        <v>1.57
[1, 2.27]</v>
      </c>
      <c r="J30" t="str">
        <f>ROUND('By site'!BD8*100, 2) &amp; CHAR(10) &amp; "["  &amp; ROUND('By site'!BE8*100, 2) &amp; ", " &amp; ROUND('By site'!BF8*100, 2) &amp; "]"</f>
        <v>0
[0, 0]</v>
      </c>
      <c r="K30" t="str">
        <f>ROUND('By site'!BG8*100, 2) &amp; CHAR(10) &amp; "["  &amp; ROUND('By site'!BH8*100, 2) &amp; ", " &amp; ROUND('By site'!BI8*100, 2) &amp; "]"</f>
        <v>2.51
[2.25, 2.83]</v>
      </c>
      <c r="N30" t="s">
        <v>89</v>
      </c>
      <c r="O30" t="str">
        <f>ROUND('By site'!BU8*100, 2) &amp; CHAR(10) &amp; "["  &amp; ROUND('By site'!BV8*100, 2) &amp; ", " &amp; ROUND('By site'!BW8*100, 2) &amp; "]"</f>
        <v>0.44
[0.36, 0.52]</v>
      </c>
      <c r="P30" t="str">
        <f>ROUND('By site'!BO8*100, 2) &amp; CHAR(10) &amp; "["  &amp; ROUND('By site'!BP8*100, 2) &amp; ", " &amp; ROUND('By site'!BQ8*100, 2) &amp; "]"</f>
        <v>2.61
[2.16, 3.13]</v>
      </c>
      <c r="Q30" t="str">
        <f>ROUND('By site'!BR8*100, 2) &amp; CHAR(10) &amp; "["  &amp; ROUND('By site'!BS8*100, 2) &amp; ", " &amp; ROUND('By site'!BT8*100, 2) &amp; "]"</f>
        <v>0
[0, 0]</v>
      </c>
      <c r="R30" t="str">
        <f>ROUND('By site'!BX8*100, 2) &amp; CHAR(10) &amp; "["  &amp; ROUND('By site'!BY8*100, 2) &amp; ", " &amp; ROUND('By site'!BZ8*100, 2) &amp; "]"</f>
        <v>3.05
[2.52, 3.65]</v>
      </c>
      <c r="T30" t="s">
        <v>89</v>
      </c>
      <c r="U30" s="3">
        <v>9.5430968377341711E-3</v>
      </c>
      <c r="V30" s="3">
        <v>4.8477730768718801E-2</v>
      </c>
      <c r="W30" s="18">
        <f t="shared" si="1"/>
        <v>-0.80314472879798993</v>
      </c>
    </row>
    <row r="31" spans="1:23" x14ac:dyDescent="0.2">
      <c r="A31" t="s">
        <v>91</v>
      </c>
      <c r="B31" t="str">
        <f>ROUND('By site'!S9, 0) &amp; " ["  &amp; ROUND('By site'!T9, 0) &amp; ", " &amp; ROUND('By site'!U9, 0) &amp; "]"</f>
        <v>11 [10, 12]</v>
      </c>
      <c r="C31" s="4">
        <v>231.42088684492001</v>
      </c>
      <c r="D31" t="str">
        <f>ROUND('By site'!BJ9*100, 2) &amp; " ["  &amp; ROUND('By site'!BM9*100, 2) &amp; ", " &amp; ROUND('By site'!BN9*100, 2) &amp; "]"</f>
        <v>4.63 [4.14, 5.23]</v>
      </c>
      <c r="G31" t="s">
        <v>91</v>
      </c>
      <c r="H31" t="str">
        <f>ROUND('By site'!AX9*100, 2) &amp; CHAR(10) &amp; "["  &amp; ROUND('By site'!AY9*100, 2) &amp; ", " &amp; ROUND('By site'!AZ9*100, 2) &amp; "]"</f>
        <v>0.79
[0.73, 0.85]</v>
      </c>
      <c r="I31" t="str">
        <f>ROUND('By site'!BA9*100, 2) &amp; CHAR(10) &amp; "["  &amp; ROUND('By site'!BB9*100, 2) &amp; ", " &amp; ROUND('By site'!BC9*100, 2) &amp; "]"</f>
        <v>1.66
[0.84, 2.65]</v>
      </c>
      <c r="J31" t="str">
        <f>ROUND('By site'!BD9*100, 2) &amp; CHAR(10) &amp; "["  &amp; ROUND('By site'!BE9*100, 2) &amp; ", " &amp; ROUND('By site'!BF9*100, 2) &amp; "]"</f>
        <v>0
[0, 0]</v>
      </c>
      <c r="K31" t="str">
        <f>ROUND('By site'!BG9*100, 2) &amp; CHAR(10) &amp; "["  &amp; ROUND('By site'!BH9*100, 2) &amp; ", " &amp; ROUND('By site'!BI9*100, 2) &amp; "]"</f>
        <v>2.44
[2.15, 2.8]</v>
      </c>
      <c r="N31" t="s">
        <v>91</v>
      </c>
      <c r="O31" t="str">
        <f>ROUND('By site'!BU9*100, 2) &amp; CHAR(10) &amp; "["  &amp; ROUND('By site'!BV9*100, 2) &amp; ", " &amp; ROUND('By site'!BW9*100, 2) &amp; "]"</f>
        <v>0.38
[0.31, 0.44]</v>
      </c>
      <c r="P31" t="str">
        <f>ROUND('By site'!BO9*100, 2) &amp; CHAR(10) &amp; "["  &amp; ROUND('By site'!BP9*100, 2) &amp; ", " &amp; ROUND('By site'!BQ9*100, 2) &amp; "]"</f>
        <v>1.81
[1.53, 2.21]</v>
      </c>
      <c r="Q31" t="str">
        <f>ROUND('By site'!BR9*100, 2) &amp; CHAR(10) &amp; "["  &amp; ROUND('By site'!BS9*100, 2) &amp; ", " &amp; ROUND('By site'!BT9*100, 2) &amp; "]"</f>
        <v>0
[0, 0]</v>
      </c>
      <c r="R31" t="str">
        <f>ROUND('By site'!BX9*100, 2) &amp; CHAR(10) &amp; "["  &amp; ROUND('By site'!BY9*100, 2) &amp; ", " &amp; ROUND('By site'!BZ9*100, 2) &amp; "]"</f>
        <v>2.19
[1.84, 2.65]</v>
      </c>
      <c r="T31" t="s">
        <v>91</v>
      </c>
      <c r="U31" s="3">
        <v>8.0073347943982274E-3</v>
      </c>
      <c r="V31" s="3">
        <v>5.6475808579374398E-2</v>
      </c>
      <c r="W31" s="18">
        <f t="shared" si="1"/>
        <v>-0.85821655332044955</v>
      </c>
    </row>
    <row r="32" spans="1:23" x14ac:dyDescent="0.2">
      <c r="A32" t="s">
        <v>90</v>
      </c>
      <c r="B32" t="str">
        <f>ROUND('By site'!S10, 0) &amp; " ["  &amp; ROUND('By site'!T10, 0) &amp; ", " &amp; ROUND('By site'!U10, 0) &amp; "]"</f>
        <v>9 [8, 11]</v>
      </c>
      <c r="C32" s="4">
        <v>245.23327540106999</v>
      </c>
      <c r="D32" t="str">
        <f>ROUND('By site'!BJ10*100, 2) &amp; " ["  &amp; ROUND('By site'!BM10*100, 2) &amp; ", " &amp; ROUND('By site'!BN10*100, 2) &amp; "]"</f>
        <v>3.79 [3.26, 4.42]</v>
      </c>
      <c r="G32" t="s">
        <v>90</v>
      </c>
      <c r="H32" t="str">
        <f>ROUND('By site'!AX10*100, 2) &amp; CHAR(10) &amp; "["  &amp; ROUND('By site'!AY10*100, 2) &amp; ", " &amp; ROUND('By site'!AZ10*100, 2) &amp; "]"</f>
        <v>0.81
[0.75, 0.87]</v>
      </c>
      <c r="I32" t="str">
        <f>ROUND('By site'!BA10*100, 2) &amp; CHAR(10) &amp; "["  &amp; ROUND('By site'!BB10*100, 2) &amp; ", " &amp; ROUND('By site'!BC10*100, 2) &amp; "]"</f>
        <v>1.05
[0.38, 1.93]</v>
      </c>
      <c r="J32" t="str">
        <f>ROUND('By site'!BD10*100, 2) &amp; CHAR(10) &amp; "["  &amp; ROUND('By site'!BE10*100, 2) &amp; ", " &amp; ROUND('By site'!BF10*100, 2) &amp; "]"</f>
        <v>0
[0, 0]</v>
      </c>
      <c r="K32" t="str">
        <f>ROUND('By site'!BG10*100, 2) &amp; CHAR(10) &amp; "["  &amp; ROUND('By site'!BH10*100, 2) &amp; ", " &amp; ROUND('By site'!BI10*100, 2) &amp; "]"</f>
        <v>1.86
[1.61, 2.2]</v>
      </c>
      <c r="N32" t="s">
        <v>90</v>
      </c>
      <c r="O32" t="str">
        <f>ROUND('By site'!BU10*100, 2) &amp; CHAR(10) &amp; "["  &amp; ROUND('By site'!BV10*100, 2) &amp; ", " &amp; ROUND('By site'!BW10*100, 2) &amp; "]"</f>
        <v>0.38
[0.31, 0.44]</v>
      </c>
      <c r="P32" t="str">
        <f>ROUND('By site'!BO10*100, 2) &amp; CHAR(10) &amp; "["  &amp; ROUND('By site'!BP10*100, 2) &amp; ", " &amp; ROUND('By site'!BQ10*100, 2) &amp; "]"</f>
        <v>1.55
[1.21, 2.03]</v>
      </c>
      <c r="Q32" t="str">
        <f>ROUND('By site'!BR10*100, 2) &amp; CHAR(10) &amp; "["  &amp; ROUND('By site'!BS10*100, 2) &amp; ", " &amp; ROUND('By site'!BT10*100, 2) &amp; "]"</f>
        <v>0
[0, 0]</v>
      </c>
      <c r="R32" t="str">
        <f>ROUND('By site'!BX10*100, 2) &amp; CHAR(10) &amp; "["  &amp; ROUND('By site'!BY10*100, 2) &amp; ", " &amp; ROUND('By site'!BZ10*100, 2) &amp; "]"</f>
        <v>1.93
[1.52, 2.48]</v>
      </c>
      <c r="T32" t="s">
        <v>90</v>
      </c>
      <c r="U32" s="3">
        <v>8.2503507595142883E-3</v>
      </c>
      <c r="V32" s="3">
        <v>5.6475808579374398E-2</v>
      </c>
      <c r="W32" s="18">
        <f t="shared" si="1"/>
        <v>-0.8539135433905517</v>
      </c>
    </row>
    <row r="33" spans="1:28" x14ac:dyDescent="0.2">
      <c r="A33" t="s">
        <v>92</v>
      </c>
      <c r="B33" t="str">
        <f>ROUND('By site'!S11, 0) &amp; " ["  &amp; ROUND('By site'!T11, 0) &amp; ", " &amp; ROUND('By site'!U11, 0) &amp; "]"</f>
        <v>5 [4, 6]</v>
      </c>
      <c r="C33" s="4">
        <v>198.01850534759399</v>
      </c>
      <c r="D33" t="str">
        <f>ROUND('By site'!BJ11*100, 2) &amp; " ["  &amp; ROUND('By site'!BM11*100, 2) &amp; ", " &amp; ROUND('By site'!BN11*100, 2) &amp; "]"</f>
        <v>2.54 [2.2, 2.91]</v>
      </c>
      <c r="G33" t="s">
        <v>92</v>
      </c>
      <c r="H33" t="str">
        <f>ROUND('By site'!AX11*100, 2) &amp; CHAR(10) &amp; "["  &amp; ROUND('By site'!AY11*100, 2) &amp; ", " &amp; ROUND('By site'!AZ11*100, 2) &amp; "]"</f>
        <v>0.88
[0.82, 0.95]</v>
      </c>
      <c r="I33" t="str">
        <f>ROUND('By site'!BA11*100, 2) &amp; CHAR(10) &amp; "["  &amp; ROUND('By site'!BB11*100, 2) &amp; ", " &amp; ROUND('By site'!BC11*100, 2) &amp; "]"</f>
        <v>0.88
[0.45, 1.4]</v>
      </c>
      <c r="J33" t="str">
        <f>ROUND('By site'!BD11*100, 2) &amp; CHAR(10) &amp; "["  &amp; ROUND('By site'!BE11*100, 2) &amp; ", " &amp; ROUND('By site'!BF11*100, 2) &amp; "]"</f>
        <v>0
[0, 0]</v>
      </c>
      <c r="K33" t="str">
        <f>ROUND('By site'!BG11*100, 2) &amp; CHAR(10) &amp; "["  &amp; ROUND('By site'!BH11*100, 2) &amp; ", " &amp; ROUND('By site'!BI11*100, 2) &amp; "]"</f>
        <v>1.76
[1.53, 2.03]</v>
      </c>
      <c r="N33" t="s">
        <v>92</v>
      </c>
      <c r="O33" t="str">
        <f>ROUND('By site'!BU11*100, 2) &amp; CHAR(10) &amp; "["  &amp; ROUND('By site'!BV11*100, 2) &amp; ", " &amp; ROUND('By site'!BW11*100, 2) &amp; "]"</f>
        <v>0.38
[0.31, 0.44]</v>
      </c>
      <c r="P33" t="str">
        <f>ROUND('By site'!BO11*100, 2) &amp; CHAR(10) &amp; "["  &amp; ROUND('By site'!BP11*100, 2) &amp; ", " &amp; ROUND('By site'!BQ11*100, 2) &amp; "]"</f>
        <v>0.4
[0.28, 0.55]</v>
      </c>
      <c r="Q33" t="str">
        <f>ROUND('By site'!BR11*100, 2) &amp; CHAR(10) &amp; "["  &amp; ROUND('By site'!BS11*100, 2) &amp; ", " &amp; ROUND('By site'!BT11*100, 2) &amp; "]"</f>
        <v>0
[0, 0]</v>
      </c>
      <c r="R33" t="str">
        <f>ROUND('By site'!BX11*100, 2) &amp; CHAR(10) &amp; "["  &amp; ROUND('By site'!BY11*100, 2) &amp; ", " &amp; ROUND('By site'!BZ11*100, 2) &amp; "]"</f>
        <v>0.78
[0.59, 0.99]</v>
      </c>
      <c r="T33" t="s">
        <v>92</v>
      </c>
      <c r="U33" s="3">
        <v>9.1282692914563188E-3</v>
      </c>
      <c r="V33" s="3">
        <v>5.6475808579374398E-2</v>
      </c>
      <c r="W33" s="18">
        <f t="shared" si="1"/>
        <v>-0.8383685064264832</v>
      </c>
    </row>
    <row r="34" spans="1:28" x14ac:dyDescent="0.2">
      <c r="A34" t="s">
        <v>93</v>
      </c>
      <c r="B34" t="str">
        <f>ROUND('By site'!S12, 0) &amp; " ["  &amp; ROUND('By site'!T12, 0) &amp; ", " &amp; ROUND('By site'!U12, 0) &amp; "]"</f>
        <v>21 [20, 24]</v>
      </c>
      <c r="C34" s="4">
        <v>1997.39449106952</v>
      </c>
      <c r="D34" t="str">
        <f>ROUND('By site'!BJ12*100, 2) &amp; " ["  &amp; ROUND('By site'!BM12*100, 2) &amp; ", " &amp; ROUND('By site'!BN12*100, 2) &amp; "]"</f>
        <v>1.08 [0.98, 1.18]</v>
      </c>
      <c r="G34" t="s">
        <v>93</v>
      </c>
      <c r="H34" t="str">
        <f>ROUND('By site'!AX12*100, 2) &amp; CHAR(10) &amp; "["  &amp; ROUND('By site'!AY12*100, 2) &amp; ", " &amp; ROUND('By site'!AZ12*100, 2) &amp; "]"</f>
        <v>0.61
[0.58, 0.65]</v>
      </c>
      <c r="I34" t="str">
        <f>ROUND('By site'!BA12*100, 2) &amp; CHAR(10) &amp; "["  &amp; ROUND('By site'!BB12*100, 2) &amp; ", " &amp; ROUND('By site'!BC12*100, 2) &amp; "]"</f>
        <v>0.11
[0.04, 0.21]</v>
      </c>
      <c r="J34" t="str">
        <f>ROUND('By site'!BD12*100, 2) &amp; CHAR(10) &amp; "["  &amp; ROUND('By site'!BE12*100, 2) &amp; ", " &amp; ROUND('By site'!BF12*100, 2) &amp; "]"</f>
        <v>0
[0, 0]</v>
      </c>
      <c r="K34" t="str">
        <f>ROUND('By site'!BG12*100, 2) &amp; CHAR(10) &amp; "["  &amp; ROUND('By site'!BH12*100, 2) &amp; ", " &amp; ROUND('By site'!BI12*100, 2) &amp; "]"</f>
        <v>0.73
[0.69, 0.77]</v>
      </c>
      <c r="N34" t="s">
        <v>93</v>
      </c>
      <c r="O34" t="str">
        <f>ROUND('By site'!BU12*100, 2) &amp; CHAR(10) &amp; "["  &amp; ROUND('By site'!BV12*100, 2) &amp; ", " &amp; ROUND('By site'!BW12*100, 2) &amp; "]"</f>
        <v>0.31
[0.26, 0.37]</v>
      </c>
      <c r="P34" t="str">
        <f>ROUND('By site'!BO12*100, 2) &amp; CHAR(10) &amp; "["  &amp; ROUND('By site'!BP12*100, 2) &amp; ", " &amp; ROUND('By site'!BQ12*100, 2) &amp; "]"</f>
        <v>0.04
[0.02, 0.05]</v>
      </c>
      <c r="Q34" t="str">
        <f>ROUND('By site'!BR12*100, 2) &amp; CHAR(10) &amp; "["  &amp; ROUND('By site'!BS12*100, 2) &amp; ", " &amp; ROUND('By site'!BT12*100, 2) &amp; "]"</f>
        <v>0
[0, 0]</v>
      </c>
      <c r="R34" t="str">
        <f>ROUND('By site'!BX12*100, 2) &amp; CHAR(10) &amp; "["  &amp; ROUND('By site'!BY12*100, 2) &amp; ", " &amp; ROUND('By site'!BZ12*100, 2) &amp; "]"</f>
        <v>0.35
[0.28, 0.42]</v>
      </c>
      <c r="T34" t="s">
        <v>93</v>
      </c>
      <c r="U34" s="3">
        <v>6.2837781968974439E-3</v>
      </c>
      <c r="V34" s="3">
        <v>5.4262313508968698E-3</v>
      </c>
      <c r="W34" s="18">
        <f t="shared" si="1"/>
        <v>0.15803728048912533</v>
      </c>
    </row>
    <row r="35" spans="1:28" x14ac:dyDescent="0.2">
      <c r="A35" t="s">
        <v>94</v>
      </c>
      <c r="B35" t="str">
        <f>ROUND('By site'!S13, 0) &amp; " ["  &amp; ROUND('By site'!T13, 0) &amp; ", " &amp; ROUND('By site'!U13, 0) &amp; "]"</f>
        <v>23 [21, 26]</v>
      </c>
      <c r="C35" s="4">
        <v>1972.72576203209</v>
      </c>
      <c r="D35" t="str">
        <f>ROUND('By site'!BJ13*100, 2) &amp; " ["  &amp; ROUND('By site'!BM13*100, 2) &amp; ", " &amp; ROUND('By site'!BN13*100, 2) &amp; "]"</f>
        <v>1.17 [1.05, 1.33]</v>
      </c>
      <c r="G35" t="s">
        <v>94</v>
      </c>
      <c r="H35" t="str">
        <f>ROUND('By site'!AX13*100, 2) &amp; CHAR(10) &amp; "["  &amp; ROUND('By site'!AY13*100, 2) &amp; ", " &amp; ROUND('By site'!AZ13*100, 2) &amp; "]"</f>
        <v>0.63
[0.59, 0.66]</v>
      </c>
      <c r="I35" t="str">
        <f>ROUND('By site'!BA13*100, 2) &amp; CHAR(10) &amp; "["  &amp; ROUND('By site'!BB13*100, 2) &amp; ", " &amp; ROUND('By site'!BC13*100, 2) &amp; "]"</f>
        <v>0.12
[0.02, 0.23]</v>
      </c>
      <c r="J35" t="str">
        <f>ROUND('By site'!BD13*100, 2) &amp; CHAR(10) &amp; "["  &amp; ROUND('By site'!BE13*100, 2) &amp; ", " &amp; ROUND('By site'!BF13*100, 2) &amp; "]"</f>
        <v>0
[0, 0]</v>
      </c>
      <c r="K35" t="str">
        <f>ROUND('By site'!BG13*100, 2) &amp; CHAR(10) &amp; "["  &amp; ROUND('By site'!BH13*100, 2) &amp; ", " &amp; ROUND('By site'!BI13*100, 2) &amp; "]"</f>
        <v>0.74
[0.7, 0.79]</v>
      </c>
      <c r="N35" t="s">
        <v>94</v>
      </c>
      <c r="O35" t="str">
        <f>ROUND('By site'!BU13*100, 2) &amp; CHAR(10) &amp; "["  &amp; ROUND('By site'!BV13*100, 2) &amp; ", " &amp; ROUND('By site'!BW13*100, 2) &amp; "]"</f>
        <v>0.31
[0.26, 0.37]</v>
      </c>
      <c r="P35" t="str">
        <f>ROUND('By site'!BO13*100, 2) &amp; CHAR(10) &amp; "["  &amp; ROUND('By site'!BP13*100, 2) &amp; ", " &amp; ROUND('By site'!BQ13*100, 2) &amp; "]"</f>
        <v>0.12
[0.08, 0.21]</v>
      </c>
      <c r="Q35" t="str">
        <f>ROUND('By site'!BR13*100, 2) &amp; CHAR(10) &amp; "["  &amp; ROUND('By site'!BS13*100, 2) &amp; ", " &amp; ROUND('By site'!BT13*100, 2) &amp; "]"</f>
        <v>0
[0, 0]</v>
      </c>
      <c r="R35" t="str">
        <f>ROUND('By site'!BX13*100, 2) &amp; CHAR(10) &amp; "["  &amp; ROUND('By site'!BY13*100, 2) &amp; ", " &amp; ROUND('By site'!BZ13*100, 2) &amp; "]"</f>
        <v>0.43
[0.34, 0.58]</v>
      </c>
      <c r="T35" t="s">
        <v>94</v>
      </c>
      <c r="U35" s="3">
        <v>6.4132406464679726E-3</v>
      </c>
      <c r="V35" s="3">
        <v>5.4262313508968698E-3</v>
      </c>
      <c r="W35" s="18">
        <f t="shared" si="1"/>
        <v>0.18189591112954773</v>
      </c>
    </row>
    <row r="36" spans="1:28" x14ac:dyDescent="0.2">
      <c r="A36" t="s">
        <v>95</v>
      </c>
      <c r="B36" t="str">
        <f>ROUND('By site'!S14, 0) &amp; " ["  &amp; ROUND('By site'!T14, 0) &amp; ", " &amp; ROUND('By site'!U14, 0) &amp; "]"</f>
        <v>76 [67, 87]</v>
      </c>
      <c r="C36" s="4">
        <v>10242.480039304801</v>
      </c>
      <c r="D36" t="str">
        <f>ROUND('By site'!BJ14*100, 2) &amp; " ["  &amp; ROUND('By site'!BM14*100, 2) &amp; ", " &amp; ROUND('By site'!BN14*100, 2) &amp; "]"</f>
        <v>0.75 [0.65, 0.84]</v>
      </c>
      <c r="G36" t="s">
        <v>95</v>
      </c>
      <c r="H36" t="str">
        <f>ROUND('By site'!AX14*100, 2) &amp; CHAR(10) &amp; "["  &amp; ROUND('By site'!AY14*100, 2) &amp; ", " &amp; ROUND('By site'!AZ14*100, 2) &amp; "]"</f>
        <v>0.11
[0.11, 0.12]</v>
      </c>
      <c r="I36" t="str">
        <f>ROUND('By site'!BA14*100, 2) &amp; CHAR(10) &amp; "["  &amp; ROUND('By site'!BB14*100, 2) &amp; ", " &amp; ROUND('By site'!BC14*100, 2) &amp; "]"</f>
        <v>0.38
[0.3, 0.46]</v>
      </c>
      <c r="J36" t="str">
        <f>ROUND('By site'!BD14*100, 2) &amp; CHAR(10) &amp; "["  &amp; ROUND('By site'!BE14*100, 2) &amp; ", " &amp; ROUND('By site'!BF14*100, 2) &amp; "]"</f>
        <v>0
[0, 0]</v>
      </c>
      <c r="K36" t="str">
        <f>ROUND('By site'!BG14*100, 2) &amp; CHAR(10) &amp; "["  &amp; ROUND('By site'!BH14*100, 2) &amp; ", " &amp; ROUND('By site'!BI14*100, 2) &amp; "]"</f>
        <v>0.49
[0.43, 0.55]</v>
      </c>
      <c r="N36" t="s">
        <v>95</v>
      </c>
      <c r="O36" t="str">
        <f>ROUND('By site'!BU14*100, 2) &amp; CHAR(10) &amp; "["  &amp; ROUND('By site'!BV14*100, 2) &amp; ", " &amp; ROUND('By site'!BW14*100, 2) &amp; "]"</f>
        <v>0.18
[0.15, 0.21]</v>
      </c>
      <c r="P36" t="str">
        <f>ROUND('By site'!BO14*100, 2) &amp; CHAR(10) &amp; "["  &amp; ROUND('By site'!BP14*100, 2) &amp; ", " &amp; ROUND('By site'!BQ14*100, 2) &amp; "]"</f>
        <v>0.08
[0.05, 0.1]</v>
      </c>
      <c r="Q36" t="str">
        <f>ROUND('By site'!BR14*100, 2) &amp; CHAR(10) &amp; "["  &amp; ROUND('By site'!BS14*100, 2) &amp; ", " &amp; ROUND('By site'!BT14*100, 2) &amp; "]"</f>
        <v>0
[0, 0]</v>
      </c>
      <c r="R36" t="str">
        <f>ROUND('By site'!BX14*100, 2) &amp; CHAR(10) &amp; "["  &amp; ROUND('By site'!BY14*100, 2) &amp; ", " &amp; ROUND('By site'!BZ14*100, 2) &amp; "]"</f>
        <v>0.25
[0.2, 0.31]</v>
      </c>
      <c r="T36" t="s">
        <v>95</v>
      </c>
      <c r="U36" s="3">
        <v>1.1561133845678078E-3</v>
      </c>
      <c r="V36" s="3">
        <v>3.0734467370106002E-3</v>
      </c>
      <c r="W36" s="18">
        <f t="shared" si="1"/>
        <v>-0.62383815842785484</v>
      </c>
    </row>
    <row r="37" spans="1:28" x14ac:dyDescent="0.2">
      <c r="A37" t="s">
        <v>83</v>
      </c>
      <c r="B37" t="str">
        <f>ROUND('By site'!S15, 0) &amp; " ["  &amp; ROUND('By site'!T15, 0) &amp; ", " &amp; ROUND('By site'!U15, 0) &amp; "]"</f>
        <v>20 [19, 22]</v>
      </c>
      <c r="C37" s="4">
        <v>350.73926764171102</v>
      </c>
      <c r="D37" t="str">
        <f>ROUND('By site'!BJ15*100, 2) &amp; " ["  &amp; ROUND('By site'!BM15*100, 2) &amp; ", " &amp; ROUND('By site'!BN15*100, 2) &amp; "]"</f>
        <v>5.74 [5.3, 6.21]</v>
      </c>
      <c r="G37" t="s">
        <v>83</v>
      </c>
      <c r="H37" t="str">
        <f>ROUND('By site'!AX15*100, 2) &amp; CHAR(10) &amp; "["  &amp; ROUND('By site'!AY15*100, 2) &amp; ", " &amp; ROUND('By site'!AZ15*100, 2) &amp; "]"</f>
        <v>3.01
[2.88, 3.15]</v>
      </c>
      <c r="I37" t="str">
        <f>ROUND('By site'!BA15*100, 2) &amp; CHAR(10) &amp; "["  &amp; ROUND('By site'!BB15*100, 2) &amp; ", " &amp; ROUND('By site'!BC15*100, 2) &amp; "]"</f>
        <v>1.68
[1.14, 2.27]</v>
      </c>
      <c r="J37" t="str">
        <f>ROUND('By site'!BD15*100, 2) &amp; CHAR(10) &amp; "["  &amp; ROUND('By site'!BE15*100, 2) &amp; ", " &amp; ROUND('By site'!BF15*100, 2) &amp; "]"</f>
        <v>0
[0, 0]</v>
      </c>
      <c r="K37" t="str">
        <f>ROUND('By site'!BG15*100, 2) &amp; CHAR(10) &amp; "["  &amp; ROUND('By site'!BH15*100, 2) &amp; ", " &amp; ROUND('By site'!BI15*100, 2) &amp; "]"</f>
        <v>4.69
[4.39, 5.01]</v>
      </c>
      <c r="N37" t="s">
        <v>83</v>
      </c>
      <c r="O37" t="str">
        <f>ROUND('By site'!BU15*100, 2) &amp; CHAR(10) &amp; "["  &amp; ROUND('By site'!BV15*100, 2) &amp; ", " &amp; ROUND('By site'!BW15*100, 2) &amp; "]"</f>
        <v>0.38
[0.31, 0.44]</v>
      </c>
      <c r="P37" t="str">
        <f>ROUND('By site'!BO15*100, 2) &amp; CHAR(10) &amp; "["  &amp; ROUND('By site'!BP15*100, 2) &amp; ", " &amp; ROUND('By site'!BQ15*100, 2) &amp; "]"</f>
        <v>0.68
[0.49, 0.92]</v>
      </c>
      <c r="Q37" t="str">
        <f>ROUND('By site'!BR15*100, 2) &amp; CHAR(10) &amp; "["  &amp; ROUND('By site'!BS15*100, 2) &amp; ", " &amp; ROUND('By site'!BT15*100, 2) &amp; "]"</f>
        <v>0
[0, 0]</v>
      </c>
      <c r="R37" t="str">
        <f>ROUND('By site'!BX15*100, 2) &amp; CHAR(10) &amp; "["  &amp; ROUND('By site'!BY15*100, 2) &amp; ", " &amp; ROUND('By site'!BZ15*100, 2) &amp; "]"</f>
        <v>1.05
[0.8, 1.36]</v>
      </c>
      <c r="T37" t="s">
        <v>83</v>
      </c>
      <c r="U37" s="3">
        <v>3.1675888808998548E-2</v>
      </c>
      <c r="V37" s="3">
        <v>1.8855842445038701E-2</v>
      </c>
      <c r="W37" s="18">
        <f t="shared" si="1"/>
        <v>0.679897830146169</v>
      </c>
    </row>
    <row r="38" spans="1:28" x14ac:dyDescent="0.2">
      <c r="A38" t="s">
        <v>96</v>
      </c>
      <c r="B38" t="str">
        <f>ROUND('By site'!S16, 0) &amp; " ["  &amp; ROUND('By site'!T16, 0) &amp; ", " &amp; ROUND('By site'!U16, 0) &amp; "]"</f>
        <v>22 [19, 24]</v>
      </c>
      <c r="C38" s="4">
        <v>651.16169270855596</v>
      </c>
      <c r="D38" t="str">
        <f>ROUND('By site'!BJ16*100, 2) &amp; " ["  &amp; ROUND('By site'!BM16*100, 2) &amp; ", " &amp; ROUND('By site'!BN16*100, 2) &amp; "]"</f>
        <v>3.32 [2.99, 3.65]</v>
      </c>
      <c r="G38" t="s">
        <v>96</v>
      </c>
      <c r="H38" t="str">
        <f>ROUND('By site'!AX16*100, 2) &amp; CHAR(10) &amp; "["  &amp; ROUND('By site'!AY16*100, 2) &amp; ", " &amp; ROUND('By site'!AZ16*100, 2) &amp; "]"</f>
        <v>0.52
[0.47, 0.57]</v>
      </c>
      <c r="I38" t="str">
        <f>ROUND('By site'!BA16*100, 2) &amp; CHAR(10) &amp; "["  &amp; ROUND('By site'!BB16*100, 2) &amp; ", " &amp; ROUND('By site'!BC16*100, 2) &amp; "]"</f>
        <v>1.56
[1.29, 1.87]</v>
      </c>
      <c r="J38" t="str">
        <f>ROUND('By site'!BD16*100, 2) &amp; CHAR(10) &amp; "["  &amp; ROUND('By site'!BE16*100, 2) &amp; ", " &amp; ROUND('By site'!BF16*100, 2) &amp; "]"</f>
        <v>0.33
[0.22, 0.48]</v>
      </c>
      <c r="K38" t="str">
        <f>ROUND('By site'!BG16*100, 2) &amp; CHAR(10) &amp; "["  &amp; ROUND('By site'!BH16*100, 2) &amp; ", " &amp; ROUND('By site'!BI16*100, 2) &amp; "]"</f>
        <v>2.42
[2.16, 2.67]</v>
      </c>
      <c r="N38" t="s">
        <v>96</v>
      </c>
      <c r="O38" t="str">
        <f>ROUND('By site'!BU16*100, 2) &amp; CHAR(10) &amp; "["  &amp; ROUND('By site'!BV16*100, 2) &amp; ", " &amp; ROUND('By site'!BW16*100, 2) &amp; "]"</f>
        <v>0.34
[0.28, 0.41]</v>
      </c>
      <c r="P38" t="str">
        <f>ROUND('By site'!BO16*100, 2) &amp; CHAR(10) &amp; "["  &amp; ROUND('By site'!BP16*100, 2) &amp; ", " &amp; ROUND('By site'!BQ16*100, 2) &amp; "]"</f>
        <v>0.26
[0.22, 0.32]</v>
      </c>
      <c r="Q38" t="str">
        <f>ROUND('By site'!BR16*100, 2) &amp; CHAR(10) &amp; "["  &amp; ROUND('By site'!BS16*100, 2) &amp; ", " &amp; ROUND('By site'!BT16*100, 2) &amp; "]"</f>
        <v>0.29
[0.23, 0.36]</v>
      </c>
      <c r="R38" t="str">
        <f>ROUND('By site'!BX16*100, 2) &amp; CHAR(10) &amp; "["  &amp; ROUND('By site'!BY16*100, 2) &amp; ", " &amp; ROUND('By site'!BZ16*100, 2) &amp; "]"</f>
        <v>0.9
[0.75, 1.05]</v>
      </c>
      <c r="T38" t="s">
        <v>96</v>
      </c>
      <c r="U38" s="3">
        <v>5.3765330742302619E-3</v>
      </c>
      <c r="V38" s="3">
        <v>5.9587925946185498E-3</v>
      </c>
      <c r="W38" s="18">
        <f t="shared" si="1"/>
        <v>-9.7714345841493591E-2</v>
      </c>
    </row>
    <row r="39" spans="1:28" x14ac:dyDescent="0.2">
      <c r="A39" t="s">
        <v>97</v>
      </c>
      <c r="B39" t="str">
        <f>ROUND('By site'!S17, 0) &amp; " ["  &amp; ROUND('By site'!T17, 0) &amp; ", " &amp; ROUND('By site'!U17, 0) &amp; "]"</f>
        <v>219 [208, 232]</v>
      </c>
      <c r="C39" s="4">
        <v>4755.8021327807501</v>
      </c>
      <c r="D39" t="str">
        <f>ROUND('By site'!BJ17*100, 2) &amp; " ["  &amp; ROUND('By site'!BM17*100, 2) &amp; ", " &amp; ROUND('By site'!BN17*100, 2) &amp; "]"</f>
        <v>4.61 [4.36, 4.87]</v>
      </c>
      <c r="G39" t="s">
        <v>97</v>
      </c>
      <c r="H39" t="str">
        <f>ROUND('By site'!AX17*100, 2) &amp; CHAR(10) &amp; "["  &amp; ROUND('By site'!AY17*100, 2) &amp; ", " &amp; ROUND('By site'!AZ17*100, 2) &amp; "]"</f>
        <v>0.46
[0.44, 0.49]</v>
      </c>
      <c r="I39" t="str">
        <f>ROUND('By site'!BA17*100, 2) &amp; CHAR(10) &amp; "["  &amp; ROUND('By site'!BB17*100, 2) &amp; ", " &amp; ROUND('By site'!BC17*100, 2) &amp; "]"</f>
        <v>2.19
[1.88, 2.53]</v>
      </c>
      <c r="J39" t="str">
        <f>ROUND('By site'!BD17*100, 2) &amp; CHAR(10) &amp; "["  &amp; ROUND('By site'!BE17*100, 2) &amp; ", " &amp; ROUND('By site'!BF17*100, 2) &amp; "]"</f>
        <v>0
[0, 0]</v>
      </c>
      <c r="K39" t="str">
        <f>ROUND('By site'!BG17*100, 2) &amp; CHAR(10) &amp; "["  &amp; ROUND('By site'!BH17*100, 2) &amp; ", " &amp; ROUND('By site'!BI17*100, 2) &amp; "]"</f>
        <v>2.66
[2.55, 2.77]</v>
      </c>
      <c r="N39" t="s">
        <v>97</v>
      </c>
      <c r="O39" t="str">
        <f>ROUND('By site'!BU17*100, 2) &amp; CHAR(10) &amp; "["  &amp; ROUND('By site'!BV17*100, 2) &amp; ", " &amp; ROUND('By site'!BW17*100, 2) &amp; "]"</f>
        <v>0.36
[0.3, 0.43]</v>
      </c>
      <c r="P39" t="str">
        <f>ROUND('By site'!BO17*100, 2) &amp; CHAR(10) &amp; "["  &amp; ROUND('By site'!BP17*100, 2) &amp; ", " &amp; ROUND('By site'!BQ17*100, 2) &amp; "]"</f>
        <v>1.59
[1.45, 1.76]</v>
      </c>
      <c r="Q39" t="str">
        <f>ROUND('By site'!BR17*100, 2) &amp; CHAR(10) &amp; "["  &amp; ROUND('By site'!BS17*100, 2) &amp; ", " &amp; ROUND('By site'!BT17*100, 2) &amp; "]"</f>
        <v>0
[0, 0]</v>
      </c>
      <c r="R39" t="str">
        <f>ROUND('By site'!BX17*100, 2) &amp; CHAR(10) &amp; "["  &amp; ROUND('By site'!BY17*100, 2) &amp; ", " &amp; ROUND('By site'!BZ17*100, 2) &amp; "]"</f>
        <v>1.95
[1.75, 2.18]</v>
      </c>
      <c r="T39" t="s">
        <v>97</v>
      </c>
      <c r="U39" s="3">
        <v>5.98156664108379E-3</v>
      </c>
      <c r="V39" s="3">
        <v>5.9587925946185498E-3</v>
      </c>
      <c r="W39" s="18">
        <f t="shared" si="1"/>
        <v>3.8219229992679572E-3</v>
      </c>
    </row>
    <row r="40" spans="1:28" x14ac:dyDescent="0.2">
      <c r="A40" t="s">
        <v>98</v>
      </c>
      <c r="B40" t="str">
        <f>ROUND('By site'!S18, 0) &amp; " ["  &amp; ROUND('By site'!T18, 0) &amp; ", " &amp; ROUND('By site'!U18, 0) &amp; "]"</f>
        <v>122 [115, 130]</v>
      </c>
      <c r="C40" s="4">
        <v>3613.2165038502699</v>
      </c>
      <c r="D40" t="str">
        <f>ROUND('By site'!BJ18*100, 2) &amp; " ["  &amp; ROUND('By site'!BM18*100, 2) &amp; ", " &amp; ROUND('By site'!BN18*100, 2) &amp; "]"</f>
        <v>3.38 [3.19, 3.6]</v>
      </c>
      <c r="G40" t="s">
        <v>98</v>
      </c>
      <c r="H40" t="str">
        <f>ROUND('By site'!AX18*100, 2) &amp; CHAR(10) &amp; "["  &amp; ROUND('By site'!AY18*100, 2) &amp; ", " &amp; ROUND('By site'!AZ18*100, 2) &amp; "]"</f>
        <v>0.38
[0.35, 0.4]</v>
      </c>
      <c r="I40" t="str">
        <f>ROUND('By site'!BA18*100, 2) &amp; CHAR(10) &amp; "["  &amp; ROUND('By site'!BB18*100, 2) &amp; ", " &amp; ROUND('By site'!BC18*100, 2) &amp; "]"</f>
        <v>1.61
[1.27, 2.01]</v>
      </c>
      <c r="J40" t="str">
        <f>ROUND('By site'!BD18*100, 2) &amp; CHAR(10) &amp; "["  &amp; ROUND('By site'!BE18*100, 2) &amp; ", " &amp; ROUND('By site'!BF18*100, 2) &amp; "]"</f>
        <v>0
[0, 0]</v>
      </c>
      <c r="K40" t="str">
        <f>ROUND('By site'!BG18*100, 2) &amp; CHAR(10) &amp; "["  &amp; ROUND('By site'!BH18*100, 2) &amp; ", " &amp; ROUND('By site'!BI18*100, 2) &amp; "]"</f>
        <v>1.98
[1.89, 2.1]</v>
      </c>
      <c r="N40" t="s">
        <v>98</v>
      </c>
      <c r="O40" t="str">
        <f>ROUND('By site'!BU18*100, 2) &amp; CHAR(10) &amp; "["  &amp; ROUND('By site'!BV18*100, 2) &amp; ", " &amp; ROUND('By site'!BW18*100, 2) &amp; "]"</f>
        <v>0.36
[0.3, 0.43]</v>
      </c>
      <c r="P40" t="str">
        <f>ROUND('By site'!BO18*100, 2) &amp; CHAR(10) &amp; "["  &amp; ROUND('By site'!BP18*100, 2) &amp; ", " &amp; ROUND('By site'!BQ18*100, 2) &amp; "]"</f>
        <v>1.03
[0.95, 1.14]</v>
      </c>
      <c r="Q40" t="str">
        <f>ROUND('By site'!BR18*100, 2) &amp; CHAR(10) &amp; "["  &amp; ROUND('By site'!BS18*100, 2) &amp; ", " &amp; ROUND('By site'!BT18*100, 2) &amp; "]"</f>
        <v>0
[0, 0]</v>
      </c>
      <c r="R40" t="str">
        <f>ROUND('By site'!BX18*100, 2) &amp; CHAR(10) &amp; "["  &amp; ROUND('By site'!BY18*100, 2) &amp; ", " &amp; ROUND('By site'!BZ18*100, 2) &amp; "]"</f>
        <v>1.4
[1.25, 1.57]</v>
      </c>
      <c r="T40" t="s">
        <v>98</v>
      </c>
      <c r="U40" s="3">
        <v>5.1843363406933376E-3</v>
      </c>
      <c r="V40" s="3">
        <v>5.9587925946185498E-3</v>
      </c>
      <c r="W40" s="18">
        <f t="shared" si="1"/>
        <v>-0.12996865415732578</v>
      </c>
    </row>
    <row r="41" spans="1:28" x14ac:dyDescent="0.2">
      <c r="A41" t="s">
        <v>99</v>
      </c>
      <c r="B41" t="str">
        <f>ROUND('By site'!S19, 0) &amp; " ["  &amp; ROUND('By site'!T19, 0) &amp; ", " &amp; ROUND('By site'!U19, 0) &amp; "]"</f>
        <v>98 [89, 107]</v>
      </c>
      <c r="C41" s="4">
        <v>1142.58562965241</v>
      </c>
      <c r="D41" t="str">
        <f>ROUND('By site'!BJ19*100, 2) &amp; " ["  &amp; ROUND('By site'!BM19*100, 2) &amp; ", " &amp; ROUND('By site'!BN19*100, 2) &amp; "]"</f>
        <v>8.55 [7.79, 9.39]</v>
      </c>
      <c r="G41" t="s">
        <v>99</v>
      </c>
      <c r="H41" t="str">
        <f>ROUND('By site'!AX19*100, 2) &amp; CHAR(10) &amp; "["  &amp; ROUND('By site'!AY19*100, 2) &amp; ", " &amp; ROUND('By site'!AZ19*100, 2) &amp; "]"</f>
        <v>0.78
[0.71, 0.86]</v>
      </c>
      <c r="I41" t="str">
        <f>ROUND('By site'!BA19*100, 2) &amp; CHAR(10) &amp; "["  &amp; ROUND('By site'!BB19*100, 2) &amp; ", " &amp; ROUND('By site'!BC19*100, 2) &amp; "]"</f>
        <v>4.05
[3.35, 4.88]</v>
      </c>
      <c r="J41" t="str">
        <f>ROUND('By site'!BD19*100, 2) &amp; CHAR(10) &amp; "["  &amp; ROUND('By site'!BE19*100, 2) &amp; ", " &amp; ROUND('By site'!BF19*100, 2) &amp; "]"</f>
        <v>0
[0, 0]</v>
      </c>
      <c r="K41" t="str">
        <f>ROUND('By site'!BG19*100, 2) &amp; CHAR(10) &amp; "["  &amp; ROUND('By site'!BH19*100, 2) &amp; ", " &amp; ROUND('By site'!BI19*100, 2) &amp; "]"</f>
        <v>4.83
[4.53, 5.18]</v>
      </c>
      <c r="N41" t="s">
        <v>99</v>
      </c>
      <c r="O41" t="str">
        <f>ROUND('By site'!BU19*100, 2) &amp; CHAR(10) &amp; "["  &amp; ROUND('By site'!BV19*100, 2) &amp; ", " &amp; ROUND('By site'!BW19*100, 2) &amp; "]"</f>
        <v>0.36
[0.3, 0.43]</v>
      </c>
      <c r="P41" t="str">
        <f>ROUND('By site'!BO19*100, 2) &amp; CHAR(10) &amp; "["  &amp; ROUND('By site'!BP19*100, 2) &amp; ", " &amp; ROUND('By site'!BQ19*100, 2) &amp; "]"</f>
        <v>3.35
[2.77, 4.09]</v>
      </c>
      <c r="Q41" t="str">
        <f>ROUND('By site'!BR19*100, 2) &amp; CHAR(10) &amp; "["  &amp; ROUND('By site'!BS19*100, 2) &amp; ", " &amp; ROUND('By site'!BT19*100, 2) &amp; "]"</f>
        <v>0
[0, 0]</v>
      </c>
      <c r="R41" t="str">
        <f>ROUND('By site'!BX19*100, 2) &amp; CHAR(10) &amp; "["  &amp; ROUND('By site'!BY19*100, 2) &amp; ", " &amp; ROUND('By site'!BZ19*100, 2) &amp; "]"</f>
        <v>3.71
[3.06, 4.52]</v>
      </c>
      <c r="T41" t="s">
        <v>99</v>
      </c>
      <c r="U41" s="3">
        <v>8.485857764988728E-3</v>
      </c>
      <c r="V41" s="3">
        <v>5.9587925946185498E-3</v>
      </c>
      <c r="W41" s="18">
        <f t="shared" si="1"/>
        <v>0.42409013743025697</v>
      </c>
    </row>
    <row r="42" spans="1:28" x14ac:dyDescent="0.2">
      <c r="A42" t="s">
        <v>123</v>
      </c>
      <c r="B42" t="str">
        <f>ROUND('By site'!S20, 0) &amp; " ["  &amp; ROUND('By site'!T20, 0) &amp; ", " &amp; ROUND('By site'!U20, 0) &amp; "]"</f>
        <v>36 [31, 41]</v>
      </c>
      <c r="C42" s="4">
        <v>5095.6287949732596</v>
      </c>
      <c r="D42" t="str">
        <f>ROUND('By site'!BJ20*100, 2) &amp; " ["  &amp; ROUND('By site'!BM20*100, 2) &amp; ", " &amp; ROUND('By site'!BN20*100, 2) &amp; "]"</f>
        <v>0.71 [0.61, 0.81]</v>
      </c>
      <c r="G42" t="s">
        <v>123</v>
      </c>
      <c r="H42" t="str">
        <f>ROUND('By site'!AX20*100, 2) &amp; CHAR(10) &amp; "["  &amp; ROUND('By site'!AY20*100, 2) &amp; ", " &amp; ROUND('By site'!AZ20*100, 2) &amp; "]"</f>
        <v>0.09
[0.08, 0.1]</v>
      </c>
      <c r="I42" t="str">
        <f>ROUND('By site'!BA20*100, 2) &amp; CHAR(10) &amp; "["  &amp; ROUND('By site'!BB20*100, 2) &amp; ", " &amp; ROUND('By site'!BC20*100, 2) &amp; "]"</f>
        <v>0.38
[0.3, 0.45]</v>
      </c>
      <c r="J42" t="str">
        <f>ROUND('By site'!BD20*100, 2) &amp; CHAR(10) &amp; "["  &amp; ROUND('By site'!BE20*100, 2) &amp; ", " &amp; ROUND('By site'!BF20*100, 2) &amp; "]"</f>
        <v>0
[0, 0]</v>
      </c>
      <c r="K42" t="str">
        <f>ROUND('By site'!BG20*100, 2) &amp; CHAR(10) &amp; "["  &amp; ROUND('By site'!BH20*100, 2) &amp; ", " &amp; ROUND('By site'!BI20*100, 2) &amp; "]"</f>
        <v>0.47
[0.4, 0.53]</v>
      </c>
      <c r="N42" t="s">
        <v>123</v>
      </c>
      <c r="O42" t="str">
        <f>ROUND('By site'!BU20*100, 2) &amp; CHAR(10) &amp; "["  &amp; ROUND('By site'!BV20*100, 2) &amp; ", " &amp; ROUND('By site'!BW20*100, 2) &amp; "]"</f>
        <v>0.18
[0.15, 0.21]</v>
      </c>
      <c r="P42" t="str">
        <f>ROUND('By site'!BO20*100, 2) &amp; CHAR(10) &amp; "["  &amp; ROUND('By site'!BP20*100, 2) &amp; ", " &amp; ROUND('By site'!BQ20*100, 2) &amp; "]"</f>
        <v>0.07
[0.04, 0.1]</v>
      </c>
      <c r="Q42" t="str">
        <f>ROUND('By site'!BR20*100, 2) &amp; CHAR(10) &amp; "["  &amp; ROUND('By site'!BS20*100, 2) &amp; ", " &amp; ROUND('By site'!BT20*100, 2) &amp; "]"</f>
        <v>0
[0, 0]</v>
      </c>
      <c r="R42" t="str">
        <f>ROUND('By site'!BX20*100, 2) &amp; CHAR(10) &amp; "["  &amp; ROUND('By site'!BY20*100, 2) &amp; ", " &amp; ROUND('By site'!BZ20*100, 2) &amp; "]"</f>
        <v>0.24
[0.18, 0.31]</v>
      </c>
      <c r="T42" t="s">
        <v>123</v>
      </c>
      <c r="U42" s="3">
        <v>8.7542467081047832E-4</v>
      </c>
      <c r="V42" s="3">
        <v>3.0734467370106002E-3</v>
      </c>
      <c r="W42" s="18">
        <f t="shared" si="1"/>
        <v>-0.71516517261595247</v>
      </c>
    </row>
    <row r="43" spans="1:28" x14ac:dyDescent="0.2">
      <c r="A43" t="s">
        <v>195</v>
      </c>
      <c r="G43" t="s">
        <v>195</v>
      </c>
      <c r="N43" t="s">
        <v>195</v>
      </c>
    </row>
    <row r="44" spans="1:28" x14ac:dyDescent="0.2">
      <c r="A44" t="s">
        <v>196</v>
      </c>
      <c r="B44" t="str">
        <f>ROUND('By site'!S23, 0) &amp; " ["  &amp; ROUND('By site'!T23, 0) &amp; ", " &amp; ROUND('By site'!U23, 0) &amp; "]"</f>
        <v>709 [669, 753]</v>
      </c>
      <c r="D44" t="str">
        <f>ROUND('By site'!BE23*100, 2) &amp; " ["  &amp; ROUND('By site'!BF23*100, 2) &amp; ", " &amp; ROUND('By site'!BG23*100, 2) &amp; "]"</f>
        <v>2.95 [2.79, 3.14]</v>
      </c>
    </row>
    <row r="46" spans="1:28" x14ac:dyDescent="0.2">
      <c r="A46" s="22" t="s">
        <v>217</v>
      </c>
      <c r="B46" t="s">
        <v>222</v>
      </c>
      <c r="C46" t="s">
        <v>223</v>
      </c>
      <c r="D46" t="s">
        <v>224</v>
      </c>
      <c r="E46" t="s">
        <v>225</v>
      </c>
      <c r="F46" t="s">
        <v>226</v>
      </c>
      <c r="G46" t="s">
        <v>227</v>
      </c>
      <c r="I46" s="22" t="s">
        <v>221</v>
      </c>
      <c r="J46" t="s">
        <v>228</v>
      </c>
      <c r="K46" t="s">
        <v>230</v>
      </c>
      <c r="L46" t="s">
        <v>231</v>
      </c>
      <c r="O46" s="22" t="s">
        <v>229</v>
      </c>
      <c r="P46" t="str" cm="1">
        <f t="array" ref="P46:P65">'By site'!W1:W20</f>
        <v>% SDev of MC iterations</v>
      </c>
      <c r="Q46" t="str" cm="1">
        <f t="array" ref="Q46:Q65">'By site'!AT1:AT20</f>
        <v>SErr of sample mean</v>
      </c>
      <c r="T46" t="s">
        <v>242</v>
      </c>
      <c r="U46" t="s">
        <v>241</v>
      </c>
      <c r="Y46" t="s">
        <v>249</v>
      </c>
      <c r="Z46" t="s">
        <v>247</v>
      </c>
      <c r="AA46" t="s">
        <v>246</v>
      </c>
      <c r="AB46" t="s">
        <v>248</v>
      </c>
    </row>
    <row r="47" spans="1:28" x14ac:dyDescent="0.2">
      <c r="A47" t="s">
        <v>101</v>
      </c>
      <c r="B47" t="str">
        <f>ROUND('By site'!CT2, 1) &amp; CHAR(10) &amp; "["  &amp; ROUND('By site'!CU2, 1) &amp; ", " &amp; ROUND('By site'!CV2, 1) &amp; "]"</f>
        <v>18.7
[15.1, 27.9]</v>
      </c>
      <c r="C47" t="str">
        <f>ROUND('By site'!CW2, 1) &amp; CHAR(10) &amp; "["  &amp; ROUND('By site'!CX2, 1) &amp; ", " &amp; ROUND('By site'!CY2, 1) &amp; "]"</f>
        <v>7.2
[6, 8.6]</v>
      </c>
      <c r="D47" t="str">
        <f>ROUND('By site'!CZ2, 1) &amp; CHAR(10) &amp; "["  &amp; ROUND('By site'!DA2, 1) &amp; ", " &amp; ROUND('By site'!DB2, 1) &amp; "]"</f>
        <v>3.7
[2.9, 5]</v>
      </c>
      <c r="E47" t="str">
        <f>ROUND('By site'!DC2, 1) &amp; CHAR(10) &amp; "["  &amp; ROUND('By site'!DD2, 1) &amp; ", " &amp; ROUND('By site'!DE2, 1) &amp; "]"</f>
        <v>0
[0, 0]</v>
      </c>
      <c r="F47" t="str">
        <f>ROUND('By site'!N2, 1) &amp; CHAR(10) &amp; "["  &amp; ROUND('By site'!O2, 1) &amp; ", " &amp; ROUND('By site'!P2, 1) &amp; "]"</f>
        <v>66.4
[58.4, 77.8]</v>
      </c>
      <c r="G47" s="9">
        <f>'By site'!CT2/'By site'!N2</f>
        <v>0.28096200240187563</v>
      </c>
      <c r="I47" t="s">
        <v>101</v>
      </c>
      <c r="J47" s="23">
        <f>'By site'!CH2/'By site'!S2</f>
        <v>0.81348738712473589</v>
      </c>
      <c r="K47" s="23">
        <f>'By site'!EA2/'By site'!K2</f>
        <v>0.79275360619480195</v>
      </c>
      <c r="L47" s="23">
        <f>'By site'!ED2/('By site'!N2 + 'By site'!Q2 + 'By site'!R2)</f>
        <v>0.84308120104276552</v>
      </c>
      <c r="O47" t="s">
        <v>101</v>
      </c>
      <c r="P47" s="9">
        <v>6.5284960665546093E-2</v>
      </c>
      <c r="Q47" s="2">
        <v>2.0644917265762799E-3</v>
      </c>
      <c r="S47" t="s">
        <v>101</v>
      </c>
      <c r="T47" s="2">
        <f>'By site'!H2/'By site'!S2</f>
        <v>2.5201208813216133E-2</v>
      </c>
      <c r="U47" s="2">
        <f>'By site'!Q2/'By site'!S2</f>
        <v>2.6298757704998212E-2</v>
      </c>
      <c r="Y47" t="s">
        <v>101</v>
      </c>
      <c r="AA47" t="str">
        <f>ROUND('By site'!CQ2, 2) &amp; CHAR(10) &amp; "["  &amp; ROUND('By site'!CR2, 2) &amp; ", " &amp; ROUND('By site'!CS2, 2) &amp; "]"</f>
        <v>152.96
[142.99, 166.16]</v>
      </c>
      <c r="AB47" s="9">
        <f>Z47/'By site'!CQ2</f>
        <v>0</v>
      </c>
    </row>
    <row r="48" spans="1:28" x14ac:dyDescent="0.2">
      <c r="A48" t="s">
        <v>84</v>
      </c>
      <c r="B48" t="str">
        <f>ROUND('By site'!CT3, 1) &amp; CHAR(10) &amp; "["  &amp; ROUND('By site'!CU3, 1) &amp; ", " &amp; ROUND('By site'!CV3, 1) &amp; "]"</f>
        <v>102.3
[96.6, 108.9]</v>
      </c>
      <c r="C48" t="str">
        <f>ROUND('By site'!CW3, 1) &amp; CHAR(10) &amp; "["  &amp; ROUND('By site'!CX3, 1) &amp; ", " &amp; ROUND('By site'!CY3, 1) &amp; "]"</f>
        <v>80.6
[74.3, 88.3]</v>
      </c>
      <c r="D48" t="str">
        <f>ROUND('By site'!CZ3, 1) &amp; CHAR(10) &amp; "["  &amp; ROUND('By site'!DA3, 1) &amp; ", " &amp; ROUND('By site'!DB3, 1) &amp; "]"</f>
        <v>29.5
[21.4, 40.7]</v>
      </c>
      <c r="E48" t="str">
        <f>ROUND('By site'!DC3, 1) &amp; CHAR(10) &amp; "["  &amp; ROUND('By site'!DD3, 1) &amp; ", " &amp; ROUND('By site'!DE3, 1) &amp; "]"</f>
        <v>0
[0, 0]</v>
      </c>
      <c r="F48" t="str">
        <f>ROUND('By site'!N3, 1) &amp; CHAR(10) &amp; "["  &amp; ROUND('By site'!O3, 1) &amp; ", " &amp; ROUND('By site'!P3, 1) &amp; "]"</f>
        <v>212.4
[199.3, 227.9]</v>
      </c>
      <c r="G48" s="9">
        <f>'By site'!CT3/'By site'!N3</f>
        <v>0.48171408062397497</v>
      </c>
      <c r="I48" t="s">
        <v>84</v>
      </c>
      <c r="J48" s="23">
        <f>'By site'!CH3/'By site'!S3</f>
        <v>0.80575587954594374</v>
      </c>
      <c r="K48" s="23">
        <f>'By site'!EA3/'By site'!K3</f>
        <v>0.77356500320024446</v>
      </c>
      <c r="L48" s="23">
        <f>'By site'!ED3/('By site'!N3 + 'By site'!Q3 + 'By site'!R3)</f>
        <v>0.84731800548098402</v>
      </c>
      <c r="O48" t="s">
        <v>84</v>
      </c>
      <c r="P48" s="9">
        <v>3.1547768560248199E-2</v>
      </c>
      <c r="Q48" s="2">
        <v>9.9762803746235394E-4</v>
      </c>
      <c r="S48" t="s">
        <v>84</v>
      </c>
      <c r="T48" s="2">
        <f>'By site'!H3/'By site'!S3</f>
        <v>0</v>
      </c>
      <c r="U48" s="2">
        <f>'By site'!Q3/'By site'!S3</f>
        <v>0</v>
      </c>
      <c r="Y48" t="s">
        <v>84</v>
      </c>
      <c r="Z48">
        <v>246</v>
      </c>
      <c r="AA48" t="str">
        <f>ROUND('By site'!CQ3, 2) &amp; CHAR(10) &amp; "["  &amp; ROUND('By site'!CR3, 2) &amp; ", " &amp; ROUND('By site'!CS3, 2) &amp; "]"</f>
        <v>449.27
[433.62, 467.28]</v>
      </c>
      <c r="AB48" s="9">
        <f>Z48/'By site'!CQ3</f>
        <v>0.54755759311291929</v>
      </c>
    </row>
    <row r="49" spans="1:28" x14ac:dyDescent="0.2">
      <c r="A49" t="s">
        <v>85</v>
      </c>
      <c r="B49" t="str">
        <f>ROUND('By site'!CT4, 1) &amp; CHAR(10) &amp; "["  &amp; ROUND('By site'!CU4, 1) &amp; ", " &amp; ROUND('By site'!CV4, 1) &amp; "]"</f>
        <v>17.6
[13.4, 22.7]</v>
      </c>
      <c r="C49" t="str">
        <f>ROUND('By site'!CW4, 1) &amp; CHAR(10) &amp; "["  &amp; ROUND('By site'!CX4, 1) &amp; ", " &amp; ROUND('By site'!CY4, 1) &amp; "]"</f>
        <v>33.4
[29.6, 37.8]</v>
      </c>
      <c r="D49" t="str">
        <f>ROUND('By site'!CZ4, 1) &amp; CHAR(10) &amp; "["  &amp; ROUND('By site'!DA4, 1) &amp; ", " &amp; ROUND('By site'!DB4, 1) &amp; "]"</f>
        <v>9.1
[6.4, 11.7]</v>
      </c>
      <c r="E49" t="str">
        <f>ROUND('By site'!DC4, 1) &amp; CHAR(10) &amp; "["  &amp; ROUND('By site'!DD4, 1) &amp; ", " &amp; ROUND('By site'!DE4, 1) &amp; "]"</f>
        <v>0.1
[0, 0.3]</v>
      </c>
      <c r="F49" t="str">
        <f>ROUND('By site'!N4, 1) &amp; CHAR(10) &amp; "["  &amp; ROUND('By site'!O4, 1) &amp; ", " &amp; ROUND('By site'!P4, 1) &amp; "]"</f>
        <v>60.2
[53.6, 67.3]</v>
      </c>
      <c r="G49" s="9">
        <f>'By site'!CT4/'By site'!N4</f>
        <v>0.29295429782587346</v>
      </c>
      <c r="I49" t="s">
        <v>85</v>
      </c>
      <c r="J49" s="23">
        <f>'By site'!CH4/'By site'!S4</f>
        <v>0.71069588188944954</v>
      </c>
      <c r="K49" s="23">
        <f>'By site'!EA4/'By site'!K4</f>
        <v>0.61890861922852014</v>
      </c>
      <c r="L49" s="23">
        <f>'By site'!ED4/('By site'!N4 + 'By site'!Q4 + 'By site'!R4)</f>
        <v>0.78629303502011394</v>
      </c>
      <c r="O49" t="s">
        <v>85</v>
      </c>
      <c r="P49" s="9">
        <v>5.1132683583550498E-2</v>
      </c>
      <c r="Q49" s="2">
        <v>1.6169574300072E-3</v>
      </c>
      <c r="S49" t="s">
        <v>85</v>
      </c>
      <c r="T49" s="2">
        <f>'By site'!H4/'By site'!S4</f>
        <v>0</v>
      </c>
      <c r="U49" s="2">
        <f>'By site'!Q4/'By site'!S4</f>
        <v>0</v>
      </c>
      <c r="Y49" t="s">
        <v>85</v>
      </c>
      <c r="Z49">
        <v>72.3</v>
      </c>
      <c r="AA49" t="str">
        <f>ROUND('By site'!CQ4, 2) &amp; CHAR(10) &amp; "["  &amp; ROUND('By site'!CR4, 2) &amp; ", " &amp; ROUND('By site'!CS4, 2) &amp; "]"</f>
        <v>95.8
[88.29, 103.68]</v>
      </c>
      <c r="AB49" s="9">
        <f>Z49/'By site'!CQ4</f>
        <v>0.75468461734875314</v>
      </c>
    </row>
    <row r="50" spans="1:28" x14ac:dyDescent="0.2">
      <c r="A50" t="s">
        <v>87</v>
      </c>
      <c r="B50" t="str">
        <f>ROUND('By site'!CT5, 1) &amp; CHAR(10) &amp; "["  &amp; ROUND('By site'!CU5, 1) &amp; ", " &amp; ROUND('By site'!CV5, 1) &amp; "]"</f>
        <v>12.9
[11.4, 14.7]</v>
      </c>
      <c r="C50" t="str">
        <f>ROUND('By site'!CW5, 1) &amp; CHAR(10) &amp; "["  &amp; ROUND('By site'!CX5, 1) &amp; ", " &amp; ROUND('By site'!CY5, 1) &amp; "]"</f>
        <v>25.1
[22.3, 28.6]</v>
      </c>
      <c r="D50" t="str">
        <f>ROUND('By site'!CZ5, 1) &amp; CHAR(10) &amp; "["  &amp; ROUND('By site'!DA5, 1) &amp; ", " &amp; ROUND('By site'!DB5, 1) &amp; "]"</f>
        <v>7
[5.4, 8.8]</v>
      </c>
      <c r="E50" t="str">
        <f>ROUND('By site'!DC5, 1) &amp; CHAR(10) &amp; "["  &amp; ROUND('By site'!DD5, 1) &amp; ", " &amp; ROUND('By site'!DE5, 1) &amp; "]"</f>
        <v>0
[0, 0]</v>
      </c>
      <c r="F50" t="str">
        <f>ROUND('By site'!N5, 1) &amp; CHAR(10) &amp; "["  &amp; ROUND('By site'!O5, 1) &amp; ", " &amp; ROUND('By site'!P5, 1) &amp; "]"</f>
        <v>45
[41.4, 49.1]</v>
      </c>
      <c r="G50" s="9">
        <f>'By site'!CT5/'By site'!N5</f>
        <v>0.28601372460704194</v>
      </c>
      <c r="I50" t="s">
        <v>87</v>
      </c>
      <c r="J50" s="23">
        <f>'By site'!CH5/'By site'!S5</f>
        <v>0.62850960895278907</v>
      </c>
      <c r="K50" s="23">
        <f>'By site'!EA5/'By site'!K5</f>
        <v>0.5784576377039472</v>
      </c>
      <c r="L50" s="23">
        <f>'By site'!ED5/('By site'!N5 + 'By site'!Q5 + 'By site'!R5)</f>
        <v>0.68769228403151184</v>
      </c>
      <c r="O50" t="s">
        <v>87</v>
      </c>
      <c r="P50" s="9">
        <v>4.6159285311028399E-2</v>
      </c>
      <c r="Q50" s="2">
        <v>1.45968476748404E-3</v>
      </c>
      <c r="S50" t="s">
        <v>87</v>
      </c>
      <c r="T50" s="2">
        <f>'By site'!H5/'By site'!S5</f>
        <v>0</v>
      </c>
      <c r="U50" s="2">
        <f>'By site'!Q5/'By site'!S5</f>
        <v>0</v>
      </c>
      <c r="Y50" t="s">
        <v>87</v>
      </c>
      <c r="Z50">
        <v>67.7</v>
      </c>
      <c r="AA50" t="str">
        <f>ROUND('By site'!CQ5, 2) &amp; CHAR(10) &amp; "["  &amp; ROUND('By site'!CR5, 2) &amp; ", " &amp; ROUND('By site'!CS5, 2) &amp; "]"</f>
        <v>82.62
[77.79, 87.91]</v>
      </c>
      <c r="AB50" s="9">
        <f>Z50/'By site'!CQ5</f>
        <v>0.81938534650687689</v>
      </c>
    </row>
    <row r="51" spans="1:28" x14ac:dyDescent="0.2">
      <c r="A51" t="s">
        <v>86</v>
      </c>
      <c r="B51" t="str">
        <f>ROUND('By site'!CT6, 1) &amp; CHAR(10) &amp; "["  &amp; ROUND('By site'!CU6, 1) &amp; ", " &amp; ROUND('By site'!CV6, 1) &amp; "]"</f>
        <v>6.8
[6, 7.8]</v>
      </c>
      <c r="C51" t="str">
        <f>ROUND('By site'!CW6, 1) &amp; CHAR(10) &amp; "["  &amp; ROUND('By site'!CX6, 1) &amp; ", " &amp; ROUND('By site'!CY6, 1) &amp; "]"</f>
        <v>27.3
[23.5, 31.7]</v>
      </c>
      <c r="D51" t="str">
        <f>ROUND('By site'!CZ6, 1) &amp; CHAR(10) &amp; "["  &amp; ROUND('By site'!DA6, 1) &amp; ", " &amp; ROUND('By site'!DB6, 1) &amp; "]"</f>
        <v>9.8
[7.3, 12.8]</v>
      </c>
      <c r="E51" t="str">
        <f>ROUND('By site'!DC6, 1) &amp; CHAR(10) &amp; "["  &amp; ROUND('By site'!DD6, 1) &amp; ", " &amp; ROUND('By site'!DE6, 1) &amp; "]"</f>
        <v>0
[0, 0]</v>
      </c>
      <c r="F51" t="str">
        <f>ROUND('By site'!N6, 1) &amp; CHAR(10) &amp; "["  &amp; ROUND('By site'!O6, 1) &amp; ", " &amp; ROUND('By site'!P6, 1) &amp; "]"</f>
        <v>44
[39.3, 49.3]</v>
      </c>
      <c r="G51" s="9">
        <f>'By site'!CT6/'By site'!N6</f>
        <v>0.15540118792621616</v>
      </c>
      <c r="I51" t="s">
        <v>86</v>
      </c>
      <c r="J51" s="23">
        <f>'By site'!CH6/'By site'!S6</f>
        <v>0.60476204760100027</v>
      </c>
      <c r="K51" s="23">
        <f>'By site'!EA6/'By site'!K6</f>
        <v>0.5463690982562367</v>
      </c>
      <c r="L51" s="23">
        <f>'By site'!ED6/('By site'!N6 + 'By site'!Q6 + 'By site'!R6)</f>
        <v>0.6727978881243033</v>
      </c>
      <c r="O51" t="s">
        <v>86</v>
      </c>
      <c r="P51" s="9">
        <v>5.7633536388878699E-2</v>
      </c>
      <c r="Q51" s="2">
        <v>1.8225324459905201E-3</v>
      </c>
      <c r="S51" t="s">
        <v>86</v>
      </c>
      <c r="T51" s="2">
        <f>'By site'!H6/'By site'!S6</f>
        <v>0</v>
      </c>
      <c r="U51" s="2">
        <f>'By site'!Q6/'By site'!S6</f>
        <v>0</v>
      </c>
      <c r="Y51" t="s">
        <v>86</v>
      </c>
      <c r="Z51">
        <v>71.400000000000006</v>
      </c>
      <c r="AA51" t="str">
        <f>ROUND('By site'!CQ6, 2) &amp; CHAR(10) &amp; "["  &amp; ROUND('By site'!CR6, 2) &amp; ", " &amp; ROUND('By site'!CS6, 2) &amp; "]"</f>
        <v>79.87
[73.81, 86.53]</v>
      </c>
      <c r="AB51" s="9">
        <f>Z51/'By site'!CQ6</f>
        <v>0.89398675282956641</v>
      </c>
    </row>
    <row r="52" spans="1:28" x14ac:dyDescent="0.2">
      <c r="A52" t="s">
        <v>88</v>
      </c>
      <c r="B52" t="str">
        <f>ROUND('By site'!CT7, 1) &amp; CHAR(10) &amp; "["  &amp; ROUND('By site'!CU7, 1) &amp; ", " &amp; ROUND('By site'!CV7, 1) &amp; "]"</f>
        <v>1.9
[1.3, 2.5]</v>
      </c>
      <c r="C52" t="str">
        <f>ROUND('By site'!CW7, 1) &amp; CHAR(10) &amp; "["  &amp; ROUND('By site'!CX7, 1) &amp; ", " &amp; ROUND('By site'!CY7, 1) &amp; "]"</f>
        <v>0
[0, 0]</v>
      </c>
      <c r="D52" t="str">
        <f>ROUND('By site'!CZ7, 1) &amp; CHAR(10) &amp; "["  &amp; ROUND('By site'!DA7, 1) &amp; ", " &amp; ROUND('By site'!DB7, 1) &amp; "]"</f>
        <v>0.8
[0.5, 1.1]</v>
      </c>
      <c r="E52" t="str">
        <f>ROUND('By site'!DC7, 1) &amp; CHAR(10) &amp; "["  &amp; ROUND('By site'!DD7, 1) &amp; ", " &amp; ROUND('By site'!DE7, 1) &amp; "]"</f>
        <v>1.8
[1, 3.1]</v>
      </c>
      <c r="F52" t="str">
        <f>ROUND('By site'!N7, 1) &amp; CHAR(10) &amp; "["  &amp; ROUND('By site'!O7, 1) &amp; ", " &amp; ROUND('By site'!P7, 1) &amp; "]"</f>
        <v>4.8
[3.7, 6.3]</v>
      </c>
      <c r="G52" s="9">
        <f>'By site'!CT7/'By site'!N7</f>
        <v>0.39300339135930268</v>
      </c>
      <c r="I52" t="s">
        <v>88</v>
      </c>
      <c r="J52" s="23">
        <f>'By site'!CH7/'By site'!S7</f>
        <v>0.6549295145825379</v>
      </c>
      <c r="K52" s="23">
        <f>'By site'!EA7/'By site'!K7</f>
        <v>0.48386432049981398</v>
      </c>
      <c r="L52" s="23">
        <f>'By site'!ED7/('By site'!N7 + 'By site'!Q7 + 'By site'!R7)</f>
        <v>0.80058206936425946</v>
      </c>
      <c r="O52" t="s">
        <v>88</v>
      </c>
      <c r="P52" s="9">
        <v>0.10407867854566601</v>
      </c>
      <c r="Q52" s="2">
        <v>3.2912568006480598E-3</v>
      </c>
      <c r="S52" t="s">
        <v>88</v>
      </c>
      <c r="T52" s="2">
        <f>'By site'!H7/'By site'!S7</f>
        <v>0</v>
      </c>
      <c r="U52" s="2">
        <f>'By site'!Q7/'By site'!S7</f>
        <v>0</v>
      </c>
      <c r="Y52" t="s">
        <v>88</v>
      </c>
      <c r="AA52" t="str">
        <f>ROUND('By site'!CQ7, 2) &amp; CHAR(10) &amp; "["  &amp; ROUND('By site'!CR7, 2) &amp; ", " &amp; ROUND('By site'!CS7, 2) &amp; "]"</f>
        <v>7.19
[5.79, 8.92]</v>
      </c>
      <c r="AB52" s="9">
        <f>Z52/'By site'!CQ7</f>
        <v>0</v>
      </c>
    </row>
    <row r="53" spans="1:28" x14ac:dyDescent="0.2">
      <c r="A53" t="s">
        <v>89</v>
      </c>
      <c r="B53" t="str">
        <f>ROUND('By site'!CT8, 1) &amp; CHAR(10) &amp; "["  &amp; ROUND('By site'!CU8, 1) &amp; ", " &amp; ROUND('By site'!CV8, 1) &amp; "]"</f>
        <v>2.4
[1.7, 3.3]</v>
      </c>
      <c r="C53" t="str">
        <f>ROUND('By site'!CW8, 1) &amp; CHAR(10) &amp; "["  &amp; ROUND('By site'!CX8, 1) &amp; ", " &amp; ROUND('By site'!CY8, 1) &amp; "]"</f>
        <v>0
[0, 0]</v>
      </c>
      <c r="D53" t="str">
        <f>ROUND('By site'!CZ8, 1) &amp; CHAR(10) &amp; "["  &amp; ROUND('By site'!DA8, 1) &amp; ", " &amp; ROUND('By site'!DB8, 1) &amp; "]"</f>
        <v>0.1
[0.1, 0.5]</v>
      </c>
      <c r="E53" t="str">
        <f>ROUND('By site'!DC8, 1) &amp; CHAR(10) &amp; "["  &amp; ROUND('By site'!DD8, 1) &amp; ", " &amp; ROUND('By site'!DE8, 1) &amp; "]"</f>
        <v>4.3
[3.3, 5.6]</v>
      </c>
      <c r="F53" t="str">
        <f>ROUND('By site'!N8, 1) &amp; CHAR(10) &amp; "["  &amp; ROUND('By site'!O8, 1) &amp; ", " &amp; ROUND('By site'!P8, 1) &amp; "]"</f>
        <v>7.4
[6.2, 8.9]</v>
      </c>
      <c r="G53" s="9">
        <f>'By site'!CT8/'By site'!N8</f>
        <v>0.32414536981781295</v>
      </c>
      <c r="I53" t="s">
        <v>89</v>
      </c>
      <c r="J53" s="23">
        <f>'By site'!CH8/'By site'!S8</f>
        <v>0.7525300765161832</v>
      </c>
      <c r="K53" s="23">
        <f>'By site'!EA8/'By site'!K8</f>
        <v>0.62680428283388379</v>
      </c>
      <c r="L53" s="23">
        <f>'By site'!ED8/('By site'!N8 + 'By site'!Q8 + 'By site'!R8)</f>
        <v>0.85666609057581056</v>
      </c>
      <c r="O53" t="s">
        <v>89</v>
      </c>
      <c r="P53" s="9">
        <v>0.11874017442462</v>
      </c>
      <c r="Q53" s="2">
        <v>3.7548940094747399E-3</v>
      </c>
      <c r="S53" t="s">
        <v>89</v>
      </c>
      <c r="T53" s="2">
        <f>'By site'!H8/'By site'!S8</f>
        <v>0</v>
      </c>
      <c r="U53" s="2">
        <f>'By site'!Q8/'By site'!S8</f>
        <v>0</v>
      </c>
      <c r="Y53" t="s">
        <v>89</v>
      </c>
      <c r="AA53" t="str">
        <f>ROUND('By site'!CQ8, 2) &amp; CHAR(10) &amp; "["  &amp; ROUND('By site'!CR8, 2) &amp; ", " &amp; ROUND('By site'!CS8, 2) &amp; "]"</f>
        <v>11.91
[10.43, 13.64]</v>
      </c>
      <c r="AB53" s="9">
        <f>Z53/'By site'!CQ8</f>
        <v>0</v>
      </c>
    </row>
    <row r="54" spans="1:28" x14ac:dyDescent="0.2">
      <c r="A54" t="s">
        <v>91</v>
      </c>
      <c r="B54" t="str">
        <f>ROUND('By site'!CT9, 1) &amp; CHAR(10) &amp; "["  &amp; ROUND('By site'!CU9, 1) &amp; ", " &amp; ROUND('By site'!CV9, 1) &amp; "]"</f>
        <v>3.6
[3, 4.3]</v>
      </c>
      <c r="C54" t="str">
        <f>ROUND('By site'!CW9, 1) &amp; CHAR(10) &amp; "["  &amp; ROUND('By site'!CX9, 1) &amp; ", " &amp; ROUND('By site'!CY9, 1) &amp; "]"</f>
        <v>0.5
[0.3, 1.2]</v>
      </c>
      <c r="D54" t="str">
        <f>ROUND('By site'!CZ9, 1) &amp; CHAR(10) &amp; "["  &amp; ROUND('By site'!DA9, 1) &amp; ", " &amp; ROUND('By site'!DB9, 1) &amp; "]"</f>
        <v>0
[0, 0.1]</v>
      </c>
      <c r="E54" t="str">
        <f>ROUND('By site'!DC9, 1) &amp; CHAR(10) &amp; "["  &amp; ROUND('By site'!DD9, 1) &amp; ", " &amp; ROUND('By site'!DE9, 1) &amp; "]"</f>
        <v>0.1
[0, 0.2]</v>
      </c>
      <c r="F54" t="str">
        <f>ROUND('By site'!N9, 1) &amp; CHAR(10) &amp; "["  &amp; ROUND('By site'!O9, 1) &amp; ", " &amp; ROUND('By site'!P9, 1) &amp; "]"</f>
        <v>4.2
[3.6, 5.1]</v>
      </c>
      <c r="G54" s="9">
        <f>'By site'!CT9/'By site'!N9</f>
        <v>0.85112034505726653</v>
      </c>
      <c r="I54" t="s">
        <v>91</v>
      </c>
      <c r="J54" s="23">
        <f>'By site'!CH9/'By site'!S9</f>
        <v>0.74863042628407073</v>
      </c>
      <c r="K54" s="23">
        <f>'By site'!EA9/'By site'!K9</f>
        <v>0.67792892529018056</v>
      </c>
      <c r="L54" s="23">
        <f>'By site'!ED9/('By site'!N9 + 'By site'!Q9 + 'By site'!R9)</f>
        <v>0.82788377416296921</v>
      </c>
      <c r="O54" t="s">
        <v>91</v>
      </c>
      <c r="P54" s="9">
        <v>0.14995684948988899</v>
      </c>
      <c r="Q54" s="2">
        <v>4.74205195131108E-3</v>
      </c>
      <c r="S54" t="s">
        <v>91</v>
      </c>
      <c r="T54" s="2">
        <f>'By site'!H9/'By site'!S9</f>
        <v>0</v>
      </c>
      <c r="U54" s="2">
        <f>'By site'!Q9/'By site'!S9</f>
        <v>0</v>
      </c>
      <c r="Y54" t="s">
        <v>91</v>
      </c>
      <c r="Z54">
        <v>6.92</v>
      </c>
      <c r="AA54" t="str">
        <f>ROUND('By site'!CQ9, 2) &amp; CHAR(10) &amp; "["  &amp; ROUND('By site'!CR9, 2) &amp; ", " &amp; ROUND('By site'!CS9, 2) &amp; "]"</f>
        <v>8.02
[7.05, 9.25]</v>
      </c>
      <c r="AB54" s="9">
        <f>Z54/'By site'!CQ9</f>
        <v>0.86259487440199534</v>
      </c>
    </row>
    <row r="55" spans="1:28" x14ac:dyDescent="0.2">
      <c r="A55" t="s">
        <v>90</v>
      </c>
      <c r="B55" t="str">
        <f>ROUND('By site'!CT10, 1) &amp; CHAR(10) &amp; "["  &amp; ROUND('By site'!CU10, 1) &amp; ", " &amp; ROUND('By site'!CV10, 1) &amp; "]"</f>
        <v>2.9
[2.2, 3.8]</v>
      </c>
      <c r="C55" t="str">
        <f>ROUND('By site'!CW10, 1) &amp; CHAR(10) &amp; "["  &amp; ROUND('By site'!CX10, 1) &amp; ", " &amp; ROUND('By site'!CY10, 1) &amp; "]"</f>
        <v>0.7
[0.4, 1.7]</v>
      </c>
      <c r="D55" t="str">
        <f>ROUND('By site'!CZ10, 1) &amp; CHAR(10) &amp; "["  &amp; ROUND('By site'!DA10, 1) &amp; ", " &amp; ROUND('By site'!DB10, 1) &amp; "]"</f>
        <v>0.2
[0.2, 0.3]</v>
      </c>
      <c r="E55" t="str">
        <f>ROUND('By site'!DC10, 1) &amp; CHAR(10) &amp; "["  &amp; ROUND('By site'!DD10, 1) &amp; ", " &amp; ROUND('By site'!DE10, 1) &amp; "]"</f>
        <v>0
[0, 0]</v>
      </c>
      <c r="F55" t="str">
        <f>ROUND('By site'!N10, 1) &amp; CHAR(10) &amp; "["  &amp; ROUND('By site'!O10, 1) &amp; ", " &amp; ROUND('By site'!P10, 1) &amp; "]"</f>
        <v>3.8
[3, 5]</v>
      </c>
      <c r="G55" s="9">
        <f>'By site'!CT10/'By site'!N10</f>
        <v>0.75737164888923836</v>
      </c>
      <c r="I55" t="s">
        <v>90</v>
      </c>
      <c r="J55" s="23">
        <f>'By site'!CH10/'By site'!S10</f>
        <v>0.68713878182165145</v>
      </c>
      <c r="K55" s="23">
        <f>'By site'!EA10/'By site'!K10</f>
        <v>0.5650205353584995</v>
      </c>
      <c r="L55" s="23">
        <f>'By site'!ED10/('By site'!N10 + 'By site'!Q10 + 'By site'!R10)</f>
        <v>0.80467710455007202</v>
      </c>
      <c r="O55" t="s">
        <v>90</v>
      </c>
      <c r="P55" s="9">
        <v>0.19321813276333399</v>
      </c>
      <c r="Q55" s="2">
        <v>6.1100938477693803E-3</v>
      </c>
      <c r="S55" t="s">
        <v>90</v>
      </c>
      <c r="T55" s="2">
        <f>'By site'!H10/'By site'!S10</f>
        <v>0</v>
      </c>
      <c r="U55" s="2">
        <f>'By site'!Q10/'By site'!S10</f>
        <v>0</v>
      </c>
      <c r="Y55" t="s">
        <v>90</v>
      </c>
      <c r="Z55">
        <v>5.56</v>
      </c>
      <c r="AA55" t="str">
        <f>ROUND('By site'!CQ10, 2) &amp; CHAR(10) &amp; "["  &amp; ROUND('By site'!CR10, 2) &amp; ", " &amp; ROUND('By site'!CS10, 2) &amp; "]"</f>
        <v>6.38
[5.25, 7.75]</v>
      </c>
      <c r="AB55" s="9">
        <f>Z55/'By site'!CQ10</f>
        <v>0.87107644979550791</v>
      </c>
    </row>
    <row r="56" spans="1:28" x14ac:dyDescent="0.2">
      <c r="A56" t="s">
        <v>92</v>
      </c>
      <c r="B56" t="str">
        <f>ROUND('By site'!CT11, 1) &amp; CHAR(10) &amp; "["  &amp; ROUND('By site'!CU11, 1) &amp; ", " &amp; ROUND('By site'!CV11, 1) &amp; "]"</f>
        <v>0.5
[0.4, 0.8]</v>
      </c>
      <c r="C56" t="str">
        <f>ROUND('By site'!CW11, 1) &amp; CHAR(10) &amp; "["  &amp; ROUND('By site'!CX11, 1) &amp; ", " &amp; ROUND('By site'!CY11, 1) &amp; "]"</f>
        <v>0.3
[0.1, 0.4]</v>
      </c>
      <c r="D56" t="str">
        <f>ROUND('By site'!CZ11, 1) &amp; CHAR(10) &amp; "["  &amp; ROUND('By site'!DA11, 1) &amp; ", " &amp; ROUND('By site'!DB11, 1) &amp; "]"</f>
        <v>0
[0, 0]</v>
      </c>
      <c r="E56" t="str">
        <f>ROUND('By site'!DC11, 1) &amp; CHAR(10) &amp; "["  &amp; ROUND('By site'!DD11, 1) &amp; ", " &amp; ROUND('By site'!DE11, 1) &amp; "]"</f>
        <v>0
[0, 0]</v>
      </c>
      <c r="F56" t="str">
        <f>ROUND('By site'!N11, 1) &amp; CHAR(10) &amp; "["  &amp; ROUND('By site'!O11, 1) &amp; ", " &amp; ROUND('By site'!P11, 1) &amp; "]"</f>
        <v>0.8
[0.6, 1.1]</v>
      </c>
      <c r="G56" s="9">
        <f>'By site'!CT11/'By site'!N11</f>
        <v>0.6784457163083748</v>
      </c>
      <c r="I56" t="s">
        <v>92</v>
      </c>
      <c r="J56" s="23">
        <f>'By site'!CH11/'By site'!S11</f>
        <v>0.50575443792653119</v>
      </c>
      <c r="K56" s="23">
        <f>'By site'!EA11/'By site'!K11</f>
        <v>0.50429070068971715</v>
      </c>
      <c r="L56" s="23">
        <f>'By site'!ED11/('By site'!N11 + 'By site'!Q11 + 'By site'!R11)</f>
        <v>0.51539639869670817</v>
      </c>
      <c r="O56" t="s">
        <v>92</v>
      </c>
      <c r="P56" s="9">
        <v>0.11255103650529701</v>
      </c>
      <c r="Q56" s="2">
        <v>3.5591762836949502E-3</v>
      </c>
      <c r="S56" t="s">
        <v>92</v>
      </c>
      <c r="T56" s="2">
        <f>'By site'!H11/'By site'!S11</f>
        <v>0</v>
      </c>
      <c r="U56" s="2">
        <f>'By site'!Q11/'By site'!S11</f>
        <v>0</v>
      </c>
      <c r="Y56" t="s">
        <v>92</v>
      </c>
      <c r="Z56">
        <v>2.17</v>
      </c>
      <c r="AA56" t="str">
        <f>ROUND('By site'!CQ11, 2) &amp; CHAR(10) &amp; "["  &amp; ROUND('By site'!CR11, 2) &amp; ", " &amp; ROUND('By site'!CS11, 2) &amp; "]"</f>
        <v>2.55
[2.02, 3.16]</v>
      </c>
      <c r="AB56" s="9">
        <f>Z56/'By site'!CQ11</f>
        <v>0.85098371671815898</v>
      </c>
    </row>
    <row r="57" spans="1:28" x14ac:dyDescent="0.2">
      <c r="A57" t="s">
        <v>93</v>
      </c>
      <c r="B57" t="str">
        <f>ROUND('By site'!CT12, 1) &amp; CHAR(10) &amp; "["  &amp; ROUND('By site'!CU12, 1) &amp; ", " &amp; ROUND('By site'!CV12, 1) &amp; "]"</f>
        <v>0.2
[0.1, 0.4]</v>
      </c>
      <c r="C57" t="str">
        <f>ROUND('By site'!CW12, 1) &amp; CHAR(10) &amp; "["  &amp; ROUND('By site'!CX12, 1) &amp; ", " &amp; ROUND('By site'!CY12, 1) &amp; "]"</f>
        <v>0.2
[0.1, 0.4]</v>
      </c>
      <c r="D57" t="str">
        <f>ROUND('By site'!CZ12, 1) &amp; CHAR(10) &amp; "["  &amp; ROUND('By site'!DA12, 1) &amp; ", " &amp; ROUND('By site'!DB12, 1) &amp; "]"</f>
        <v>0.2
[0.1, 0.5]</v>
      </c>
      <c r="E57" t="str">
        <f>ROUND('By site'!DC12, 1) &amp; CHAR(10) &amp; "["  &amp; ROUND('By site'!DD12, 1) &amp; ", " &amp; ROUND('By site'!DE12, 1) &amp; "]"</f>
        <v>0
[0, 0]</v>
      </c>
      <c r="F57" t="str">
        <f>ROUND('By site'!N12, 1) &amp; CHAR(10) &amp; "["  &amp; ROUND('By site'!O12, 1) &amp; ", " &amp; ROUND('By site'!P12, 1) &amp; "]"</f>
        <v>0.7
[0.5, 1.1]</v>
      </c>
      <c r="G57" s="9">
        <f>'By site'!CT12/'By site'!N12</f>
        <v>0.31047112156220097</v>
      </c>
      <c r="I57" t="s">
        <v>93</v>
      </c>
      <c r="J57" s="23">
        <f>'By site'!CH12/'By site'!S12</f>
        <v>0.13961054140024687</v>
      </c>
      <c r="K57" s="23">
        <f>'By site'!EA12/'By site'!K12</f>
        <v>0.16097441606262505</v>
      </c>
      <c r="L57" s="23">
        <f>'By site'!ED12/('By site'!N12 + 'By site'!Q12 + 'By site'!R12)</f>
        <v>0.1014275920546328</v>
      </c>
      <c r="O57" t="s">
        <v>93</v>
      </c>
      <c r="P57" s="9">
        <v>4.8455062131454597E-2</v>
      </c>
      <c r="Q57" s="2">
        <v>1.5322836050037001E-3</v>
      </c>
      <c r="S57" t="s">
        <v>93</v>
      </c>
      <c r="T57" s="2">
        <f>'By site'!H12/'By site'!S12</f>
        <v>0</v>
      </c>
      <c r="U57" s="2">
        <f>'By site'!Q12/'By site'!S12</f>
        <v>0</v>
      </c>
      <c r="Y57" t="s">
        <v>93</v>
      </c>
      <c r="Z57">
        <v>2.54</v>
      </c>
      <c r="AA57" t="str">
        <f>ROUND('By site'!CQ12, 2) &amp; CHAR(10) &amp; "["  &amp; ROUND('By site'!CR12, 2) &amp; ", " &amp; ROUND('By site'!CS12, 2) &amp; "]"</f>
        <v>3.05
[2.32, 3.91]</v>
      </c>
      <c r="AB57" s="9">
        <f>Z57/'By site'!CQ12</f>
        <v>0.83363755933899419</v>
      </c>
    </row>
    <row r="58" spans="1:28" x14ac:dyDescent="0.2">
      <c r="A58" t="s">
        <v>94</v>
      </c>
      <c r="B58" t="str">
        <f>ROUND('By site'!CT13, 1) &amp; CHAR(10) &amp; "["  &amp; ROUND('By site'!CU13, 1) &amp; ", " &amp; ROUND('By site'!CV13, 1) &amp; "]"</f>
        <v>1.2
[0.7, 2.9]</v>
      </c>
      <c r="C58" t="str">
        <f>ROUND('By site'!CW13, 1) &amp; CHAR(10) &amp; "["  &amp; ROUND('By site'!CX13, 1) &amp; ", " &amp; ROUND('By site'!CY13, 1) &amp; "]"</f>
        <v>0.7
[0.5, 1.1]</v>
      </c>
      <c r="D58" t="str">
        <f>ROUND('By site'!CZ13, 1) &amp; CHAR(10) &amp; "["  &amp; ROUND('By site'!DA13, 1) &amp; ", " &amp; ROUND('By site'!DB13, 1) &amp; "]"</f>
        <v>0.4
[0.2, 0.7]</v>
      </c>
      <c r="E58" t="str">
        <f>ROUND('By site'!DC13, 1) &amp; CHAR(10) &amp; "["  &amp; ROUND('By site'!DD13, 1) &amp; ", " &amp; ROUND('By site'!DE13, 1) &amp; "]"</f>
        <v>0
[0, 0]</v>
      </c>
      <c r="F58" t="str">
        <f>ROUND('By site'!N13, 1) &amp; CHAR(10) &amp; "["  &amp; ROUND('By site'!O13, 1) &amp; ", " &amp; ROUND('By site'!P13, 1) &amp; "]"</f>
        <v>2.3
[1.6, 4.1]</v>
      </c>
      <c r="G58" s="9">
        <f>'By site'!CT13/'By site'!N13</f>
        <v>0.50140336997700752</v>
      </c>
      <c r="I58" t="s">
        <v>94</v>
      </c>
      <c r="J58" s="23">
        <f>'By site'!CH13/'By site'!S13</f>
        <v>0.20068139393397436</v>
      </c>
      <c r="K58" s="23">
        <f>'By site'!EA13/'By site'!K13</f>
        <v>0.16116748960871569</v>
      </c>
      <c r="L58" s="23">
        <f>'By site'!ED13/('By site'!N13 + 'By site'!Q13 + 'By site'!R13)</f>
        <v>0.27550244778757776</v>
      </c>
      <c r="O58" t="s">
        <v>94</v>
      </c>
      <c r="P58" s="9">
        <v>8.9451923326055297E-2</v>
      </c>
      <c r="Q58" s="2">
        <v>2.8287181879307899E-3</v>
      </c>
      <c r="S58" t="s">
        <v>94</v>
      </c>
      <c r="T58" s="2">
        <f>'By site'!H13/'By site'!S13</f>
        <v>0</v>
      </c>
      <c r="U58" s="2">
        <f>'By site'!Q13/'By site'!S13</f>
        <v>0</v>
      </c>
      <c r="Y58" t="s">
        <v>94</v>
      </c>
      <c r="Z58">
        <v>4.25</v>
      </c>
      <c r="AA58" t="str">
        <f>ROUND('By site'!CQ13, 2) &amp; CHAR(10) &amp; "["  &amp; ROUND('By site'!CR13, 2) &amp; ", " &amp; ROUND('By site'!CS13, 2) &amp; "]"</f>
        <v>4.7
[3.52, 6.65]</v>
      </c>
      <c r="AB58" s="9">
        <f>Z58/'By site'!CQ13</f>
        <v>0.90330827445602624</v>
      </c>
    </row>
    <row r="59" spans="1:28" x14ac:dyDescent="0.2">
      <c r="A59" t="s">
        <v>95</v>
      </c>
      <c r="B59" t="str">
        <f>ROUND('By site'!CT14, 1) &amp; CHAR(10) &amp; "["  &amp; ROUND('By site'!CU14, 1) &amp; ", " &amp; ROUND('By site'!CV14, 1) &amp; "]"</f>
        <v>1.4
[0.6, 2.3]</v>
      </c>
      <c r="C59" t="str">
        <f>ROUND('By site'!CW14, 1) &amp; CHAR(10) &amp; "["  &amp; ROUND('By site'!CX14, 1) &amp; ", " &amp; ROUND('By site'!CY14, 1) &amp; "]"</f>
        <v>6.4
[4.4, 8.5]</v>
      </c>
      <c r="D59" t="str">
        <f>ROUND('By site'!CZ14, 1) &amp; CHAR(10) &amp; "["  &amp; ROUND('By site'!DA14, 1) &amp; ", " &amp; ROUND('By site'!DB14, 1) &amp; "]"</f>
        <v>0.1
[0, 0.4]</v>
      </c>
      <c r="E59" t="str">
        <f>ROUND('By site'!DC14, 1) &amp; CHAR(10) &amp; "["  &amp; ROUND('By site'!DD14, 1) &amp; ", " &amp; ROUND('By site'!DE14, 1) &amp; "]"</f>
        <v>0
[0, 0]</v>
      </c>
      <c r="F59" t="str">
        <f>ROUND('By site'!N14, 1) &amp; CHAR(10) &amp; "["  &amp; ROUND('By site'!O14, 1) &amp; ", " &amp; ROUND('By site'!P14, 1) &amp; "]"</f>
        <v>7.8
[5.6, 10.3]</v>
      </c>
      <c r="G59" s="9">
        <f>'By site'!CT14/'By site'!N14</f>
        <v>0.17506759790670848</v>
      </c>
      <c r="I59" t="s">
        <v>95</v>
      </c>
      <c r="J59" s="23">
        <f>'By site'!CH14/'By site'!S14</f>
        <v>0.60805344959652774</v>
      </c>
      <c r="K59" s="23">
        <f>'By site'!EA14/'By site'!K14</f>
        <v>0.76614390954204847</v>
      </c>
      <c r="L59" s="23">
        <f>'By site'!ED14/('By site'!N14 + 'By site'!Q14 + 'By site'!R14)</f>
        <v>0.3017056224036837</v>
      </c>
      <c r="O59" t="s">
        <v>95</v>
      </c>
      <c r="P59" s="9">
        <v>6.02602021409177E-2</v>
      </c>
      <c r="Q59" s="2">
        <v>1.90559491027455E-3</v>
      </c>
      <c r="S59" t="s">
        <v>95</v>
      </c>
      <c r="T59" s="2">
        <f>'By site'!H14/'By site'!S14</f>
        <v>0</v>
      </c>
      <c r="U59" s="2">
        <f>'By site'!Q14/'By site'!S14</f>
        <v>0</v>
      </c>
      <c r="Y59" t="s">
        <v>95</v>
      </c>
      <c r="AA59" t="str">
        <f>ROUND('By site'!CQ14, 2) &amp; CHAR(10) &amp; "["  &amp; ROUND('By site'!CR14, 2) &amp; ", " &amp; ROUND('By site'!CS14, 2) &amp; "]"</f>
        <v>46.42
[40.24, 53.37]</v>
      </c>
      <c r="AB59" s="9">
        <f>Z66/'By site'!CQ14</f>
        <v>0.45027336066175216</v>
      </c>
    </row>
    <row r="60" spans="1:28" x14ac:dyDescent="0.2">
      <c r="A60" t="s">
        <v>83</v>
      </c>
      <c r="B60" t="str">
        <f>ROUND('By site'!CT15, 1) &amp; CHAR(10) &amp; "["  &amp; ROUND('By site'!CU15, 1) &amp; ", " &amp; ROUND('By site'!CV15, 1) &amp; "]"</f>
        <v>1.8
[1.3, 2.5]</v>
      </c>
      <c r="C60" t="str">
        <f>ROUND('By site'!CW15, 1) &amp; CHAR(10) &amp; "["  &amp; ROUND('By site'!CX15, 1) &amp; ", " &amp; ROUND('By site'!CY15, 1) &amp; "]"</f>
        <v>0.3
[0.2, 0.4]</v>
      </c>
      <c r="D60" t="str">
        <f>ROUND('By site'!CZ15, 1) &amp; CHAR(10) &amp; "["  &amp; ROUND('By site'!DA15, 1) &amp; ", " &amp; ROUND('By site'!DB15, 1) &amp; "]"</f>
        <v>0.3
[0.1, 0.9]</v>
      </c>
      <c r="E60" t="str">
        <f>ROUND('By site'!DC15, 1) &amp; CHAR(10) &amp; "["  &amp; ROUND('By site'!DD15, 1) &amp; ", " &amp; ROUND('By site'!DE15, 1) &amp; "]"</f>
        <v>0
[0, 0]</v>
      </c>
      <c r="F60" t="str">
        <f>ROUND('By site'!N15, 1) &amp; CHAR(10) &amp; "["  &amp; ROUND('By site'!O15, 1) &amp; ", " &amp; ROUND('By site'!P15, 1) &amp; "]"</f>
        <v>2.4
[1.7, 3.2]</v>
      </c>
      <c r="G60" s="9">
        <f>'By site'!CT15/'By site'!N15</f>
        <v>0.76522208094732069</v>
      </c>
      <c r="I60" t="s">
        <v>83</v>
      </c>
      <c r="J60" s="23">
        <f>'By site'!CH15/'By site'!S15</f>
        <v>0.41057388483765239</v>
      </c>
      <c r="K60" s="23">
        <f>'By site'!EA15/'By site'!K15</f>
        <v>0.36625722697760332</v>
      </c>
      <c r="L60" s="23">
        <f>'By site'!ED15/('By site'!N15 + 'By site'!Q15 + 'By site'!R15)</f>
        <v>0.64310360099488995</v>
      </c>
      <c r="O60" t="s">
        <v>83</v>
      </c>
      <c r="P60" s="9">
        <v>6.8822072853055E-2</v>
      </c>
      <c r="Q60" s="2">
        <v>2.1763450350969701E-3</v>
      </c>
      <c r="S60" t="s">
        <v>83</v>
      </c>
      <c r="T60" s="2">
        <f>'By site'!H15/'By site'!S15</f>
        <v>0</v>
      </c>
      <c r="U60" s="2">
        <f>'By site'!Q15/'By site'!S15</f>
        <v>0</v>
      </c>
      <c r="Y60" t="s">
        <v>83</v>
      </c>
      <c r="Z60">
        <v>6.13</v>
      </c>
      <c r="AA60" t="str">
        <f>ROUND('By site'!CQ15, 2) &amp; CHAR(10) &amp; "["  &amp; ROUND('By site'!CR15, 2) &amp; ", " &amp; ROUND('By site'!CS15, 2) &amp; "]"</f>
        <v>8.4
[7.09, 9.78]</v>
      </c>
      <c r="AB60" s="9">
        <f>Z60/'By site'!CQ15</f>
        <v>0.73014268123011139</v>
      </c>
    </row>
    <row r="61" spans="1:28" x14ac:dyDescent="0.2">
      <c r="A61" t="s">
        <v>96</v>
      </c>
      <c r="B61" t="str">
        <f>ROUND('By site'!CT16, 1) &amp; CHAR(10) &amp; "["  &amp; ROUND('By site'!CU16, 1) &amp; ", " &amp; ROUND('By site'!CV16, 1) &amp; "]"</f>
        <v>0.7
[0.5, 0.8]</v>
      </c>
      <c r="C61" t="str">
        <f>ROUND('By site'!CW16, 1) &amp; CHAR(10) &amp; "["  &amp; ROUND('By site'!CX16, 1) &amp; ", " &amp; ROUND('By site'!CY16, 1) &amp; "]"</f>
        <v>0.6
[0.4, 0.9]</v>
      </c>
      <c r="D61" t="str">
        <f>ROUND('By site'!CZ16, 1) &amp; CHAR(10) &amp; "["  &amp; ROUND('By site'!DA16, 1) &amp; ", " &amp; ROUND('By site'!DB16, 1) &amp; "]"</f>
        <v>0.4
[0.2, 0.6]</v>
      </c>
      <c r="E61" t="e">
        <f>ROUND('By site'!DC16, 1) &amp; CHAR(10) &amp; "["  &amp; ROUND('By site'!DD16, 1) &amp; ", " &amp; ROUND('By site'!DE16, 1) &amp; "]"</f>
        <v>#VALUE!</v>
      </c>
      <c r="F61" t="str">
        <f>ROUND('By site'!N16, 1) &amp; CHAR(10) &amp; "["  &amp; ROUND('By site'!O16, 1) &amp; ", " &amp; ROUND('By site'!P16, 1) &amp; "]"</f>
        <v>1.7
[1.4, 2.1]</v>
      </c>
      <c r="G61" s="9">
        <f>'By site'!CT16/'By site'!N16</f>
        <v>0.39865656779893383</v>
      </c>
      <c r="I61" t="s">
        <v>96</v>
      </c>
      <c r="J61" s="23">
        <f>'By site'!CH16/'By site'!S16</f>
        <v>0.55119638881029176</v>
      </c>
      <c r="K61" s="23">
        <f>'By site'!EA16/'By site'!K16</f>
        <v>0.6499167281200815</v>
      </c>
      <c r="L61" s="23">
        <f>'By site'!ED16/('By site'!N16 + 'By site'!Q16 + 'By site'!R16)</f>
        <v>0.29291810375876998</v>
      </c>
      <c r="O61" t="s">
        <v>96</v>
      </c>
      <c r="P61" s="9">
        <v>5.8147080462175503E-2</v>
      </c>
      <c r="Q61" s="2">
        <v>1.83877213549551E-3</v>
      </c>
      <c r="S61" t="s">
        <v>96</v>
      </c>
      <c r="T61" s="2">
        <f>'By site'!H16/'By site'!S16</f>
        <v>9.9200194719025109E-2</v>
      </c>
      <c r="U61" s="2">
        <f>'By site'!Q16/'By site'!S16</f>
        <v>8.8392846575700221E-2</v>
      </c>
      <c r="Y61" t="s">
        <v>96</v>
      </c>
      <c r="AA61" t="str">
        <f>ROUND('By site'!CQ16, 2) &amp; CHAR(10) &amp; "["  &amp; ROUND('By site'!CR16, 2) &amp; ", " &amp; ROUND('By site'!CS16, 2) &amp; "]"</f>
        <v>11.94
[10.63, 13.44]</v>
      </c>
      <c r="AB61" s="9">
        <f>Z61/'By site'!CQ16</f>
        <v>0</v>
      </c>
    </row>
    <row r="62" spans="1:28" x14ac:dyDescent="0.2">
      <c r="A62" t="s">
        <v>97</v>
      </c>
      <c r="B62" t="str">
        <f>ROUND('By site'!CT17, 1) &amp; CHAR(10) &amp; "["  &amp; ROUND('By site'!CU17, 1) &amp; ", " &amp; ROUND('By site'!CV17, 1) &amp; "]"</f>
        <v>22.4
[20.2, 25.2]</v>
      </c>
      <c r="C62" t="str">
        <f>ROUND('By site'!CW17, 1) &amp; CHAR(10) &amp; "["  &amp; ROUND('By site'!CX17, 1) &amp; ", " &amp; ROUND('By site'!CY17, 1) &amp; "]"</f>
        <v>34.9
[31.3, 39.2]</v>
      </c>
      <c r="D62" t="str">
        <f>ROUND('By site'!CZ17, 1) &amp; CHAR(10) &amp; "["  &amp; ROUND('By site'!DA17, 1) &amp; ", " &amp; ROUND('By site'!DB17, 1) &amp; "]"</f>
        <v>18.2
[13.6, 24.8]</v>
      </c>
      <c r="E62" t="str">
        <f>ROUND('By site'!DC17, 1) &amp; CHAR(10) &amp; "["  &amp; ROUND('By site'!DD17, 1) &amp; ", " &amp; ROUND('By site'!DE17, 1) &amp; "]"</f>
        <v>0
[0, 0]</v>
      </c>
      <c r="F62" t="str">
        <f>ROUND('By site'!N17, 1) &amp; CHAR(10) &amp; "["  &amp; ROUND('By site'!O17, 1) &amp; ", " &amp; ROUND('By site'!P17, 1) &amp; "]"</f>
        <v>75.5
[68.9, 83.5]</v>
      </c>
      <c r="G62" s="9">
        <f>'By site'!CT17/'By site'!N17</f>
        <v>0.29659384863710531</v>
      </c>
      <c r="I62" t="s">
        <v>97</v>
      </c>
      <c r="J62" s="23">
        <f>'By site'!CH17/'By site'!S17</f>
        <v>0.82039594291756479</v>
      </c>
      <c r="K62" s="23">
        <f>'By site'!EA17/'By site'!K17</f>
        <v>0.82592400937352317</v>
      </c>
      <c r="L62" s="23">
        <f>'By site'!ED17/('By site'!N17 + 'By site'!Q17 + 'By site'!R17)</f>
        <v>0.81358706005720471</v>
      </c>
      <c r="O62" t="s">
        <v>97</v>
      </c>
      <c r="P62" s="9">
        <v>6.6136434572973093E-2</v>
      </c>
      <c r="Q62" s="2">
        <v>2.0914176957329998E-3</v>
      </c>
      <c r="S62" t="s">
        <v>97</v>
      </c>
      <c r="T62" s="2">
        <f>'By site'!H17/'By site'!S17</f>
        <v>0</v>
      </c>
      <c r="U62" s="2">
        <f>'By site'!Q17/'By site'!S17</f>
        <v>0</v>
      </c>
      <c r="Y62" t="s">
        <v>97</v>
      </c>
      <c r="AA62" t="str">
        <f>ROUND('By site'!CQ17, 2) &amp; CHAR(10) &amp; "["  &amp; ROUND('By site'!CR17, 2) &amp; ", " &amp; ROUND('By site'!CS17, 2) &amp; "]"</f>
        <v>179.85
[171.42, 189.23]</v>
      </c>
      <c r="AB62" s="9">
        <f>Z62/'By site'!CQ17</f>
        <v>0</v>
      </c>
    </row>
    <row r="63" spans="1:28" x14ac:dyDescent="0.2">
      <c r="A63" t="s">
        <v>98</v>
      </c>
      <c r="B63" t="str">
        <f>ROUND('By site'!CT18, 1) &amp; CHAR(10) &amp; "["  &amp; ROUND('By site'!CU18, 1) &amp; ", " &amp; ROUND('By site'!CV18, 1) &amp; "]"</f>
        <v>9.5
[7.9, 11.5]</v>
      </c>
      <c r="C63" t="str">
        <f>ROUND('By site'!CW18, 1) &amp; CHAR(10) &amp; "["  &amp; ROUND('By site'!CX18, 1) &amp; ", " &amp; ROUND('By site'!CY18, 1) &amp; "]"</f>
        <v>24.2
[22.2, 26.6]</v>
      </c>
      <c r="D63" t="str">
        <f>ROUND('By site'!CZ18, 1) &amp; CHAR(10) &amp; "["  &amp; ROUND('By site'!DA18, 1) &amp; ", " &amp; ROUND('By site'!DB18, 1) &amp; "]"</f>
        <v>3.6
[2.7, 6.9]</v>
      </c>
      <c r="E63" t="str">
        <f>ROUND('By site'!DC18, 1) &amp; CHAR(10) &amp; "["  &amp; ROUND('By site'!DD18, 1) &amp; ", " &amp; ROUND('By site'!DE18, 1) &amp; "]"</f>
        <v>0
[0, 0]</v>
      </c>
      <c r="F63" t="str">
        <f>ROUND('By site'!N18, 1) &amp; CHAR(10) &amp; "["  &amp; ROUND('By site'!O18, 1) &amp; ", " &amp; ROUND('By site'!P18, 1) &amp; "]"</f>
        <v>37.3
[34.3, 41.4]</v>
      </c>
      <c r="G63" s="9">
        <f>'By site'!CT18/'By site'!N18</f>
        <v>0.25427277530575465</v>
      </c>
      <c r="I63" t="s">
        <v>98</v>
      </c>
      <c r="J63" s="23">
        <f>'By site'!CH18/'By site'!S18</f>
        <v>0.78095251946061106</v>
      </c>
      <c r="K63" s="23">
        <f>'By site'!EA18/'By site'!K18</f>
        <v>0.81090981810347018</v>
      </c>
      <c r="L63" s="23">
        <f>'By site'!ED18/('By site'!N18 + 'By site'!Q18 + 'By site'!R18)</f>
        <v>0.73962111606887915</v>
      </c>
      <c r="O63" t="s">
        <v>98</v>
      </c>
      <c r="P63" s="9">
        <v>7.9974416779285198E-2</v>
      </c>
      <c r="Q63" s="2">
        <v>2.5290131156612901E-3</v>
      </c>
      <c r="S63" t="s">
        <v>98</v>
      </c>
      <c r="T63" s="2">
        <f>'By site'!H18/'By site'!S18</f>
        <v>0</v>
      </c>
      <c r="U63" s="2">
        <f>'By site'!Q18/'By site'!S18</f>
        <v>0</v>
      </c>
      <c r="Y63" t="s">
        <v>98</v>
      </c>
      <c r="AA63" t="str">
        <f>ROUND('By site'!CQ18, 2) &amp; CHAR(10) &amp; "["  &amp; ROUND('By site'!CR18, 2) &amp; ", " &amp; ROUND('By site'!CS18, 2) &amp; "]"</f>
        <v>95.44
[90.84, 100.98]</v>
      </c>
      <c r="AB63" s="9">
        <f>Z63/'By site'!CQ18</f>
        <v>0</v>
      </c>
    </row>
    <row r="64" spans="1:28" x14ac:dyDescent="0.2">
      <c r="A64" t="s">
        <v>99</v>
      </c>
      <c r="B64" t="str">
        <f>ROUND('By site'!CT19, 1) &amp; CHAR(10) &amp; "["  &amp; ROUND('By site'!CU19, 1) &amp; ", " &amp; ROUND('By site'!CV19, 1) &amp; "]"</f>
        <v>12.8
[11.4, 14.4]</v>
      </c>
      <c r="C64" t="str">
        <f>ROUND('By site'!CW19, 1) &amp; CHAR(10) &amp; "["  &amp; ROUND('By site'!CX19, 1) &amp; ", " &amp; ROUND('By site'!CY19, 1) &amp; "]"</f>
        <v>10.7
[8.2, 15.2]</v>
      </c>
      <c r="D64" t="str">
        <f>ROUND('By site'!CZ19, 1) &amp; CHAR(10) &amp; "["  &amp; ROUND('By site'!DA19, 1) &amp; ", " &amp; ROUND('By site'!DB19, 1) &amp; "]"</f>
        <v>14.7
[9.5, 22]</v>
      </c>
      <c r="E64" t="str">
        <f>ROUND('By site'!DC19, 1) &amp; CHAR(10) &amp; "["  &amp; ROUND('By site'!DD19, 1) &amp; ", " &amp; ROUND('By site'!DE19, 1) &amp; "]"</f>
        <v>0
[0, 0]</v>
      </c>
      <c r="F64" t="str">
        <f>ROUND('By site'!N19, 1) &amp; CHAR(10) &amp; "["  &amp; ROUND('By site'!O19, 1) &amp; ", " &amp; ROUND('By site'!P19, 1) &amp; "]"</f>
        <v>38.3
[31.6, 46.8]</v>
      </c>
      <c r="G64" s="9">
        <f>'By site'!CT19/'By site'!N19</f>
        <v>0.33496915255811588</v>
      </c>
      <c r="I64" t="s">
        <v>99</v>
      </c>
      <c r="J64" s="23">
        <f>'By site'!CH19/'By site'!S19</f>
        <v>0.86604280063277106</v>
      </c>
      <c r="K64" s="23">
        <f>'By site'!EA19/'By site'!K19</f>
        <v>0.83927195166080193</v>
      </c>
      <c r="L64" s="23">
        <f>'By site'!ED19/('By site'!N19 + 'By site'!Q19 + 'By site'!R19)</f>
        <v>0.90210101652821473</v>
      </c>
      <c r="O64" t="s">
        <v>99</v>
      </c>
      <c r="P64" s="9">
        <v>0.10623786205108</v>
      </c>
      <c r="Q64" s="2">
        <v>3.3595361782818001E-3</v>
      </c>
      <c r="S64" t="s">
        <v>99</v>
      </c>
      <c r="T64" s="2">
        <f>'By site'!H19/'By site'!S19</f>
        <v>0</v>
      </c>
      <c r="U64" s="2">
        <f>'By site'!Q19/'By site'!S19</f>
        <v>0</v>
      </c>
      <c r="Y64" t="s">
        <v>99</v>
      </c>
      <c r="AA64" t="str">
        <f>ROUND('By site'!CQ19, 2) &amp; CHAR(10) &amp; "["  &amp; ROUND('By site'!CR19, 2) &amp; ", " &amp; ROUND('By site'!CS19, 2) &amp; "]"</f>
        <v>84.65
[76.8, 93.49]</v>
      </c>
      <c r="AB64" s="9">
        <f>Z64/'By site'!CQ19</f>
        <v>0</v>
      </c>
    </row>
    <row r="65" spans="1:28" x14ac:dyDescent="0.2">
      <c r="A65" t="s">
        <v>123</v>
      </c>
      <c r="B65" t="str">
        <f>ROUND('By site'!CT20, 1) &amp; CHAR(10) &amp; "["  &amp; ROUND('By site'!CU20, 1) &amp; ", " &amp; ROUND('By site'!CV20, 1) &amp; "]"</f>
        <v>0.5
[0.1, 1.4]</v>
      </c>
      <c r="C65" t="str">
        <f>ROUND('By site'!CW20, 1) &amp; CHAR(10) &amp; "["  &amp; ROUND('By site'!CX20, 1) &amp; ", " &amp; ROUND('By site'!CY20, 1) &amp; "]"</f>
        <v>2.9
[1.7, 4.3]</v>
      </c>
      <c r="D65" t="str">
        <f>ROUND('By site'!CZ20, 1) &amp; CHAR(10) &amp; "["  &amp; ROUND('By site'!DA20, 1) &amp; ", " &amp; ROUND('By site'!DB20, 1) &amp; "]"</f>
        <v>0
[0, 0]</v>
      </c>
      <c r="E65" t="str">
        <f>ROUND('By site'!DC20, 1) &amp; CHAR(10) &amp; "["  &amp; ROUND('By site'!DD20, 1) &amp; ", " &amp; ROUND('By site'!DE20, 1) &amp; "]"</f>
        <v>0
[0, 0]</v>
      </c>
      <c r="F65" t="str">
        <f>ROUND('By site'!N20, 1) &amp; CHAR(10) &amp; "["  &amp; ROUND('By site'!O20, 1) &amp; ", " &amp; ROUND('By site'!P20, 1) &amp; "]"</f>
        <v>3.4
[1.9, 5.2]</v>
      </c>
      <c r="G65" s="9">
        <f>'By site'!CT20/'By site'!N20</f>
        <v>0.15899966802165527</v>
      </c>
      <c r="I65" t="s">
        <v>123</v>
      </c>
      <c r="J65" s="23">
        <f>'By site'!CH20/'By site'!S20</f>
        <v>0.62863549541465946</v>
      </c>
      <c r="K65" s="23">
        <f>'By site'!EA20/'By site'!K20</f>
        <v>0.82644654737582768</v>
      </c>
      <c r="L65" s="23">
        <f>'By site'!ED20/('By site'!N20 + 'By site'!Q20 + 'By site'!R20)</f>
        <v>0.27438084250363398</v>
      </c>
      <c r="O65" t="s">
        <v>123</v>
      </c>
      <c r="P65" s="9">
        <v>6.2812101426160005E-2</v>
      </c>
      <c r="Q65" s="2">
        <v>1.9862930512817602E-3</v>
      </c>
      <c r="S65" t="s">
        <v>123</v>
      </c>
      <c r="T65" s="2">
        <f>'By site'!H20/'By site'!S20</f>
        <v>0</v>
      </c>
      <c r="U65" s="2">
        <f>'By site'!Q20/'By site'!S20</f>
        <v>0</v>
      </c>
      <c r="Y65" t="s">
        <v>123</v>
      </c>
      <c r="AA65" t="str">
        <f>ROUND('By site'!CQ20, 2) &amp; CHAR(10) &amp; "["  &amp; ROUND('By site'!CR20, 2) &amp; ", " &amp; ROUND('By site'!CS20, 2) &amp; "]"</f>
        <v>23.15
[19.54, 26.54]</v>
      </c>
      <c r="AB65" s="9">
        <f>Z65/'By site'!CQ20</f>
        <v>0</v>
      </c>
    </row>
    <row r="66" spans="1:28" x14ac:dyDescent="0.2">
      <c r="I66" t="s">
        <v>196</v>
      </c>
      <c r="J66" s="23">
        <f>'By site'!CH24</f>
        <v>0.74341373019138435</v>
      </c>
      <c r="K66" s="23">
        <f>'By site'!EA24</f>
        <v>0.72600263920528074</v>
      </c>
      <c r="L66" s="23">
        <f>'By site'!ED24</f>
        <v>0.76974991653951308</v>
      </c>
      <c r="Y66" t="s">
        <v>250</v>
      </c>
      <c r="Z66">
        <v>20.9</v>
      </c>
      <c r="AA66" s="6" t="str">
        <f>ROUND(Z69, 2) &amp; CHAR(10) &amp; "["  &amp; ROUND(Z69*AA69, 2) &amp; ", " &amp; ROUND(Z69*AB69, 2) &amp; "]"</f>
        <v>23.27
[20.17, 26.75]</v>
      </c>
      <c r="AB66" s="9">
        <f>Z66/('By site'!CQ14 - 'By site'!CQ20)</f>
        <v>0.89820657805016646</v>
      </c>
    </row>
    <row r="67" spans="1:28" x14ac:dyDescent="0.2">
      <c r="A67" s="22" t="s">
        <v>432</v>
      </c>
      <c r="B67" t="s">
        <v>256</v>
      </c>
      <c r="C67" t="s">
        <v>431</v>
      </c>
      <c r="D67" t="s">
        <v>429</v>
      </c>
      <c r="E67" t="s">
        <v>428</v>
      </c>
    </row>
    <row r="68" spans="1:28" x14ac:dyDescent="0.2">
      <c r="A68" t="s">
        <v>101</v>
      </c>
      <c r="B68">
        <f>'By site'!DN2*'By site'!Z2</f>
        <v>24.357965236152825</v>
      </c>
      <c r="C68" s="5">
        <f>'By site'!DX2</f>
        <v>7.2701047721023199E-3</v>
      </c>
      <c r="D68" s="2">
        <f>'By site'!DU2/C68-1</f>
        <v>0.65124376861340028</v>
      </c>
      <c r="E68" t="b">
        <f>ABS(D68) &lt;= 0.5</f>
        <v>0</v>
      </c>
      <c r="F68">
        <f>COUNTIF(E68:E82, TRUE)</f>
        <v>7</v>
      </c>
      <c r="Z68" t="s">
        <v>254</v>
      </c>
      <c r="AA68" t="s">
        <v>251</v>
      </c>
      <c r="AB68" t="s">
        <v>252</v>
      </c>
    </row>
    <row r="69" spans="1:28" x14ac:dyDescent="0.2">
      <c r="A69" t="s">
        <v>84</v>
      </c>
      <c r="B69">
        <f>'By site'!DN3*'By site'!Z3</f>
        <v>120.97259424653235</v>
      </c>
      <c r="C69" s="5">
        <f>'By site'!DX3</f>
        <v>6.5124999847487302E-3</v>
      </c>
      <c r="D69" s="2">
        <f>'By site'!DU3/C69-1</f>
        <v>0.22683425264099366</v>
      </c>
      <c r="E69" t="b">
        <f t="shared" ref="E69:E86" si="2">ABS(D69) &lt;= 0.5</f>
        <v>1</v>
      </c>
      <c r="Y69" t="s">
        <v>253</v>
      </c>
      <c r="Z69">
        <f>'By site'!CQ14 - 'By site'!CQ20</f>
        <v>23.268589332055299</v>
      </c>
      <c r="AA69">
        <f>'By site'!CR14/'By site'!CQ14</f>
        <v>0.86697718597895235</v>
      </c>
      <c r="AB69">
        <f>'By site'!CS14/'By site'!CQ14</f>
        <v>1.149826818868253</v>
      </c>
    </row>
    <row r="70" spans="1:28" x14ac:dyDescent="0.2">
      <c r="A70" t="s">
        <v>85</v>
      </c>
      <c r="B70">
        <f>'By site'!DN4*'By site'!Z4</f>
        <v>50.816506638195825</v>
      </c>
      <c r="C70" s="5">
        <f>'By site'!DX4</f>
        <v>5.9587925946185498E-3</v>
      </c>
      <c r="D70" s="2">
        <f>'By site'!DU4/C70-1</f>
        <v>-4.7912009924108712E-2</v>
      </c>
      <c r="E70" t="b">
        <f t="shared" si="2"/>
        <v>1</v>
      </c>
    </row>
    <row r="71" spans="1:28" x14ac:dyDescent="0.2">
      <c r="A71" t="s">
        <v>87</v>
      </c>
      <c r="B71">
        <f>'By site'!DN5*'By site'!Z5</f>
        <v>63.438241032096158</v>
      </c>
      <c r="C71" s="5">
        <f>'By site'!DX5</f>
        <v>5.9587925946185498E-3</v>
      </c>
      <c r="D71" s="2">
        <f>'By site'!DU5/C71-1</f>
        <v>-1.4352765550062596E-2</v>
      </c>
      <c r="E71" t="b">
        <f t="shared" si="2"/>
        <v>1</v>
      </c>
    </row>
    <row r="72" spans="1:28" x14ac:dyDescent="0.2">
      <c r="A72" t="s">
        <v>86</v>
      </c>
      <c r="B72">
        <f>'By site'!DN6*'By site'!Z6</f>
        <v>66.395754134398558</v>
      </c>
      <c r="C72" s="5">
        <f>'By site'!DX6</f>
        <v>5.9587925946185498E-3</v>
      </c>
      <c r="D72" s="2">
        <f>'By site'!DU6/C72-1</f>
        <v>-9.393662715129758E-3</v>
      </c>
      <c r="E72" t="b">
        <f t="shared" si="2"/>
        <v>1</v>
      </c>
    </row>
    <row r="73" spans="1:28" x14ac:dyDescent="0.2">
      <c r="A73" t="s">
        <v>88</v>
      </c>
      <c r="B73">
        <f>'By site'!DN7*'By site'!Z7</f>
        <v>15.196735288855514</v>
      </c>
      <c r="C73" s="5">
        <f>'By site'!DX7</f>
        <v>5.1203661661178103E-2</v>
      </c>
      <c r="D73" s="2">
        <f>'By site'!DU7/C73-1</f>
        <v>-0.8070311167930051</v>
      </c>
      <c r="E73" t="b">
        <f t="shared" si="2"/>
        <v>0</v>
      </c>
    </row>
    <row r="74" spans="1:28" x14ac:dyDescent="0.2">
      <c r="A74" t="s">
        <v>89</v>
      </c>
      <c r="B74">
        <f>'By site'!DN8*'By site'!Z8</f>
        <v>15.50160821102906</v>
      </c>
      <c r="C74" s="5">
        <f>'By site'!DX8</f>
        <v>4.8477730768718801E-2</v>
      </c>
      <c r="D74" s="2">
        <f>'By site'!DU8/C74-1</f>
        <v>-0.80314470505052293</v>
      </c>
      <c r="E74" t="b">
        <f t="shared" si="2"/>
        <v>0</v>
      </c>
    </row>
    <row r="75" spans="1:28" x14ac:dyDescent="0.2">
      <c r="A75" t="s">
        <v>91</v>
      </c>
      <c r="B75">
        <f>'By site'!DN9*'By site'!Z9</f>
        <v>14.261429630091026</v>
      </c>
      <c r="C75" s="5">
        <f>'By site'!DX9</f>
        <v>5.6475808579374398E-2</v>
      </c>
      <c r="D75" s="2">
        <f>'By site'!DU9/C75-1</f>
        <v>-0.8582157338196954</v>
      </c>
      <c r="E75" t="b">
        <f t="shared" si="2"/>
        <v>0</v>
      </c>
    </row>
    <row r="76" spans="1:28" x14ac:dyDescent="0.2">
      <c r="A76" t="s">
        <v>90</v>
      </c>
      <c r="B76">
        <f>'By site'!DN10*'By site'!Z10</f>
        <v>15.112625086571196</v>
      </c>
      <c r="C76" s="5">
        <f>'By site'!DX10</f>
        <v>5.6475808579374398E-2</v>
      </c>
      <c r="D76" s="2">
        <f>'By site'!DU10/C76-1</f>
        <v>-0.85391334038433309</v>
      </c>
      <c r="E76" t="b">
        <f t="shared" si="2"/>
        <v>0</v>
      </c>
    </row>
    <row r="77" spans="1:28" x14ac:dyDescent="0.2">
      <c r="A77" t="s">
        <v>92</v>
      </c>
      <c r="B77">
        <f>'By site'!DN11*'By site'!Z11</f>
        <v>12.20299091396601</v>
      </c>
      <c r="C77" s="5">
        <f>'By site'!DX11</f>
        <v>5.6475808579374398E-2</v>
      </c>
      <c r="D77" s="2">
        <f>'By site'!DU11/C77-1</f>
        <v>-0.838365354689527</v>
      </c>
      <c r="E77" t="b">
        <f t="shared" si="2"/>
        <v>0</v>
      </c>
    </row>
    <row r="78" spans="1:28" x14ac:dyDescent="0.2">
      <c r="A78" t="s">
        <v>93</v>
      </c>
      <c r="B78">
        <f>'By site'!DN12*'By site'!Z12</f>
        <v>19.391289447219531</v>
      </c>
      <c r="C78" s="5">
        <f>'By site'!DX12</f>
        <v>5.4262313508968698E-3</v>
      </c>
      <c r="D78" s="2">
        <f>'By site'!DU12/C78-1</f>
        <v>0.15804321203166483</v>
      </c>
      <c r="E78" t="b">
        <f t="shared" si="2"/>
        <v>1</v>
      </c>
    </row>
    <row r="79" spans="1:28" x14ac:dyDescent="0.2">
      <c r="A79" t="s">
        <v>94</v>
      </c>
      <c r="B79">
        <f>'By site'!DN13*'By site'!Z13</f>
        <v>19.151798216419305</v>
      </c>
      <c r="C79" s="5">
        <f>'By site'!DX13</f>
        <v>5.4262313508968698E-3</v>
      </c>
      <c r="D79" s="2">
        <f>'By site'!DU13/C79-1</f>
        <v>0.1819075310481173</v>
      </c>
      <c r="E79" t="b">
        <f t="shared" si="2"/>
        <v>1</v>
      </c>
    </row>
    <row r="80" spans="1:28" x14ac:dyDescent="0.2">
      <c r="A80" t="s">
        <v>95</v>
      </c>
      <c r="B80">
        <f>'By site'!DN14*'By site'!Z14</f>
        <v>56.321647797862589</v>
      </c>
      <c r="C80" s="5">
        <f>'By site'!DX14</f>
        <v>3.0734467370106002E-3</v>
      </c>
      <c r="D80" s="2">
        <f>'By site'!DU14/C80-1</f>
        <v>-0.62383054113809666</v>
      </c>
      <c r="E80" t="b">
        <f t="shared" si="2"/>
        <v>0</v>
      </c>
    </row>
    <row r="81" spans="1:5" x14ac:dyDescent="0.2">
      <c r="A81" t="s">
        <v>83</v>
      </c>
      <c r="B81">
        <f>'By site'!DN15*'By site'!Z15</f>
        <v>8.4196860466966505</v>
      </c>
      <c r="C81" s="5">
        <f>'By site'!DX15</f>
        <v>1.8855842445038701E-2</v>
      </c>
      <c r="D81" s="2">
        <f>'By site'!DU15/C81-1</f>
        <v>0.67991198879570303</v>
      </c>
      <c r="E81" t="b">
        <f t="shared" si="2"/>
        <v>0</v>
      </c>
    </row>
    <row r="82" spans="1:5" x14ac:dyDescent="0.2">
      <c r="A82" t="s">
        <v>96</v>
      </c>
      <c r="B82">
        <f>'By site'!DN16*'By site'!Z16</f>
        <v>6.9421125078788286</v>
      </c>
      <c r="C82" s="5">
        <f>'By site'!DX16</f>
        <v>5.9587925946185498E-3</v>
      </c>
      <c r="D82" s="2">
        <f>'By site'!DU16/C82-1</f>
        <v>-9.7707793220529249E-2</v>
      </c>
      <c r="E82" t="b">
        <f t="shared" si="2"/>
        <v>1</v>
      </c>
    </row>
    <row r="83" spans="1:5" x14ac:dyDescent="0.2">
      <c r="A83" t="s">
        <v>97</v>
      </c>
      <c r="B83">
        <f>'By site'!DN17*'By site'!Z17</f>
        <v>54.652973052983512</v>
      </c>
      <c r="C83" s="5">
        <f>'By site'!DX17</f>
        <v>5.9587925946185498E-3</v>
      </c>
      <c r="D83" s="2">
        <f>'By site'!DU17/C83-1</f>
        <v>3.8283631936311124E-3</v>
      </c>
      <c r="E83" t="b">
        <f t="shared" si="2"/>
        <v>1</v>
      </c>
    </row>
    <row r="84" spans="1:5" x14ac:dyDescent="0.2">
      <c r="A84" t="s">
        <v>98</v>
      </c>
      <c r="B84">
        <f>'By site'!DN18*'By site'!Z18</f>
        <v>41.522548395860255</v>
      </c>
      <c r="C84" s="5">
        <f>'By site'!DX18</f>
        <v>5.9587925946185498E-3</v>
      </c>
      <c r="D84" s="2">
        <f>'By site'!DU18/C84-1</f>
        <v>-0.1299571883054208</v>
      </c>
      <c r="E84" t="b">
        <f t="shared" si="2"/>
        <v>1</v>
      </c>
    </row>
    <row r="85" spans="1:5" x14ac:dyDescent="0.2">
      <c r="A85" t="s">
        <v>99</v>
      </c>
      <c r="B85">
        <f>'By site'!DN19*'By site'!Z19</f>
        <v>13.130424665419572</v>
      </c>
      <c r="C85" s="5">
        <f>'By site'!DX19</f>
        <v>5.9587925946185498E-3</v>
      </c>
      <c r="D85" s="2">
        <f>'By site'!DU19/C85-1</f>
        <v>0.42411282020117502</v>
      </c>
      <c r="E85" t="b">
        <f t="shared" si="2"/>
        <v>1</v>
      </c>
    </row>
    <row r="86" spans="1:5" x14ac:dyDescent="0.2">
      <c r="A86" t="s">
        <v>123</v>
      </c>
      <c r="B86">
        <f>'By site'!DN20*'By site'!Z20</f>
        <v>28.019992150124839</v>
      </c>
      <c r="C86" s="5">
        <f>'By site'!DX20</f>
        <v>3.0734467370106002E-3</v>
      </c>
      <c r="D86" s="2">
        <f>'By site'!DU20/C86-1</f>
        <v>-0.71514678939813114</v>
      </c>
      <c r="E86" t="b">
        <f t="shared" si="2"/>
        <v>0</v>
      </c>
    </row>
    <row r="87" spans="1:5" x14ac:dyDescent="0.2">
      <c r="A87" t="s">
        <v>255</v>
      </c>
      <c r="B87">
        <f>B69+B73+B79+B80+B81+B82</f>
        <v>227.00457410424525</v>
      </c>
    </row>
    <row r="88" spans="1:5" x14ac:dyDescent="0.2">
      <c r="A88" t="s">
        <v>257</v>
      </c>
      <c r="B88" s="24">
        <f>B87/'By site'!Z23</f>
        <v>9.4550194784142547E-3</v>
      </c>
    </row>
    <row r="89" spans="1:5" x14ac:dyDescent="0.2">
      <c r="A89" t="s">
        <v>258</v>
      </c>
      <c r="B89">
        <f>'By site'!S23/B87</f>
        <v>3.1233989867463601</v>
      </c>
    </row>
    <row r="90" spans="1:5" x14ac:dyDescent="0.2">
      <c r="A90" t="s">
        <v>259</v>
      </c>
      <c r="B90">
        <f>'By site'!BE23/0.0225</f>
        <v>1.312524367046497</v>
      </c>
    </row>
    <row r="93" spans="1:5" x14ac:dyDescent="0.2">
      <c r="B93"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DC2B9-085C-8A46-A27B-BDD957FD37D2}">
  <dimension ref="A1:EF25"/>
  <sheetViews>
    <sheetView workbookViewId="0">
      <pane xSplit="1" ySplit="1" topLeftCell="B2" activePane="bottomRight" state="frozen"/>
      <selection pane="topRight" activeCell="B1" sqref="B1"/>
      <selection pane="bottomLeft" activeCell="A2" sqref="A2"/>
      <selection pane="bottomRight" activeCell="A3" sqref="A3:EF3"/>
    </sheetView>
  </sheetViews>
  <sheetFormatPr baseColWidth="10" defaultRowHeight="16" x14ac:dyDescent="0.2"/>
  <cols>
    <col min="1" max="1" width="21.5" customWidth="1"/>
    <col min="2" max="2" width="14.1640625" customWidth="1"/>
    <col min="36" max="36" width="10.6640625" customWidth="1"/>
  </cols>
  <sheetData>
    <row r="1" spans="1:136" x14ac:dyDescent="0.2">
      <c r="A1" t="s">
        <v>100</v>
      </c>
      <c r="B1" t="s">
        <v>16</v>
      </c>
      <c r="C1" t="s">
        <v>130</v>
      </c>
      <c r="D1" t="s">
        <v>131</v>
      </c>
      <c r="E1" t="s">
        <v>17</v>
      </c>
      <c r="F1" t="s">
        <v>132</v>
      </c>
      <c r="G1" t="s">
        <v>133</v>
      </c>
      <c r="H1" t="s">
        <v>18</v>
      </c>
      <c r="I1" t="s">
        <v>186</v>
      </c>
      <c r="J1" t="s">
        <v>187</v>
      </c>
      <c r="K1" t="s">
        <v>134</v>
      </c>
      <c r="L1" t="s">
        <v>135</v>
      </c>
      <c r="M1" t="s">
        <v>136</v>
      </c>
      <c r="N1" t="s">
        <v>47</v>
      </c>
      <c r="O1" t="s">
        <v>48</v>
      </c>
      <c r="P1" t="s">
        <v>63</v>
      </c>
      <c r="Q1" t="s">
        <v>64</v>
      </c>
      <c r="R1" t="s">
        <v>65</v>
      </c>
      <c r="S1" t="s">
        <v>61</v>
      </c>
      <c r="T1" t="s">
        <v>66</v>
      </c>
      <c r="U1" t="s">
        <v>49</v>
      </c>
      <c r="V1" t="s">
        <v>50</v>
      </c>
      <c r="W1" t="s">
        <v>51</v>
      </c>
      <c r="X1" t="s">
        <v>12</v>
      </c>
      <c r="Y1" t="s">
        <v>80</v>
      </c>
      <c r="Z1" t="s">
        <v>13</v>
      </c>
      <c r="AA1" t="s">
        <v>23</v>
      </c>
      <c r="AB1" t="s">
        <v>24</v>
      </c>
      <c r="AC1" t="s">
        <v>28</v>
      </c>
      <c r="AD1" t="s">
        <v>29</v>
      </c>
      <c r="AE1" t="s">
        <v>35</v>
      </c>
      <c r="AF1" t="s">
        <v>54</v>
      </c>
      <c r="AG1" t="s">
        <v>55</v>
      </c>
      <c r="AH1" t="s">
        <v>56</v>
      </c>
      <c r="AI1" t="s">
        <v>57</v>
      </c>
      <c r="AJ1" t="s">
        <v>58</v>
      </c>
      <c r="AK1" t="s">
        <v>59</v>
      </c>
      <c r="AM1" t="s">
        <v>20</v>
      </c>
      <c r="AN1" t="s">
        <v>30</v>
      </c>
      <c r="AO1" t="s">
        <v>33</v>
      </c>
      <c r="AP1" t="s">
        <v>137</v>
      </c>
      <c r="AQ1" t="s">
        <v>44</v>
      </c>
      <c r="AR1" t="s">
        <v>138</v>
      </c>
      <c r="AS1" t="s">
        <v>82</v>
      </c>
      <c r="AT1" t="s">
        <v>81</v>
      </c>
      <c r="AU1" t="s">
        <v>139</v>
      </c>
      <c r="AV1" t="s">
        <v>140</v>
      </c>
      <c r="AW1" t="s">
        <v>141</v>
      </c>
      <c r="AX1" t="s">
        <v>142</v>
      </c>
      <c r="AY1" s="1" t="s">
        <v>143</v>
      </c>
      <c r="AZ1" s="1" t="s">
        <v>144</v>
      </c>
      <c r="BA1" t="s">
        <v>145</v>
      </c>
      <c r="BB1" t="s">
        <v>146</v>
      </c>
      <c r="BC1" t="s">
        <v>52</v>
      </c>
      <c r="BD1" t="s">
        <v>53</v>
      </c>
      <c r="BE1" t="s">
        <v>14</v>
      </c>
      <c r="BF1" t="s">
        <v>147</v>
      </c>
      <c r="BG1" t="s">
        <v>148</v>
      </c>
      <c r="BH1" t="s">
        <v>79</v>
      </c>
      <c r="BI1" t="s">
        <v>149</v>
      </c>
      <c r="BJ1" t="s">
        <v>150</v>
      </c>
      <c r="BK1" t="s">
        <v>15</v>
      </c>
      <c r="BL1" t="s">
        <v>37</v>
      </c>
      <c r="BM1" t="s">
        <v>38</v>
      </c>
      <c r="BN1" t="s">
        <v>39</v>
      </c>
      <c r="BO1" t="s">
        <v>40</v>
      </c>
      <c r="BP1" t="s">
        <v>151</v>
      </c>
      <c r="BQ1" t="s">
        <v>152</v>
      </c>
      <c r="BR1" t="s">
        <v>153</v>
      </c>
      <c r="BS1" t="s">
        <v>62</v>
      </c>
      <c r="BT1" t="s">
        <v>154</v>
      </c>
      <c r="BU1" t="s">
        <v>155</v>
      </c>
      <c r="BV1" t="s">
        <v>67</v>
      </c>
      <c r="BW1" t="s">
        <v>156</v>
      </c>
      <c r="BX1" t="s">
        <v>157</v>
      </c>
      <c r="BY1" t="s">
        <v>158</v>
      </c>
      <c r="BZ1" t="s">
        <v>159</v>
      </c>
      <c r="CA1" t="s">
        <v>160</v>
      </c>
      <c r="CB1" t="s">
        <v>161</v>
      </c>
      <c r="CC1" t="s">
        <v>162</v>
      </c>
      <c r="CD1" t="s">
        <v>21</v>
      </c>
      <c r="CE1" t="s">
        <v>163</v>
      </c>
      <c r="CF1" t="s">
        <v>164</v>
      </c>
      <c r="CG1" t="s">
        <v>34</v>
      </c>
      <c r="CH1" t="s">
        <v>36</v>
      </c>
      <c r="CI1" t="s">
        <v>73</v>
      </c>
      <c r="CJ1" t="s">
        <v>165</v>
      </c>
      <c r="CK1" t="s">
        <v>166</v>
      </c>
      <c r="CL1" t="s">
        <v>70</v>
      </c>
      <c r="CM1" t="s">
        <v>167</v>
      </c>
      <c r="CN1" t="s">
        <v>168</v>
      </c>
      <c r="CO1" t="s">
        <v>20</v>
      </c>
      <c r="CP1" t="s">
        <v>169</v>
      </c>
      <c r="CQ1" t="s">
        <v>170</v>
      </c>
      <c r="CR1" t="s">
        <v>171</v>
      </c>
      <c r="CS1" t="s">
        <v>172</v>
      </c>
      <c r="CT1" t="s">
        <v>173</v>
      </c>
      <c r="CU1" t="s">
        <v>174</v>
      </c>
      <c r="CV1" t="s">
        <v>175</v>
      </c>
      <c r="CW1" t="s">
        <v>176</v>
      </c>
      <c r="CX1" t="s">
        <v>177</v>
      </c>
      <c r="CY1" t="s">
        <v>178</v>
      </c>
      <c r="CZ1" t="s">
        <v>179</v>
      </c>
      <c r="DA1" t="s">
        <v>180</v>
      </c>
      <c r="DB1" t="s">
        <v>181</v>
      </c>
      <c r="DC1" t="s">
        <v>182</v>
      </c>
      <c r="DD1" t="s">
        <v>183</v>
      </c>
      <c r="DE1" t="s">
        <v>184</v>
      </c>
      <c r="DF1" t="s">
        <v>185</v>
      </c>
      <c r="DG1" t="s">
        <v>74</v>
      </c>
      <c r="DH1" t="s">
        <v>71</v>
      </c>
      <c r="DI1" t="s">
        <v>72</v>
      </c>
      <c r="DJ1" t="s">
        <v>75</v>
      </c>
      <c r="DK1" t="s">
        <v>76</v>
      </c>
      <c r="DL1" t="s">
        <v>69</v>
      </c>
      <c r="DM1" t="s">
        <v>22</v>
      </c>
      <c r="DN1" t="s">
        <v>25</v>
      </c>
      <c r="DO1" t="s">
        <v>105</v>
      </c>
      <c r="DP1" t="s">
        <v>108</v>
      </c>
      <c r="DQ1" t="s">
        <v>109</v>
      </c>
      <c r="DR1" t="s">
        <v>124</v>
      </c>
      <c r="DS1" t="s">
        <v>125</v>
      </c>
      <c r="DT1" t="s">
        <v>126</v>
      </c>
      <c r="DU1" t="s">
        <v>127</v>
      </c>
      <c r="DV1" t="s">
        <v>211</v>
      </c>
      <c r="DW1" t="s">
        <v>212</v>
      </c>
      <c r="DX1" t="s">
        <v>213</v>
      </c>
      <c r="DY1" t="s">
        <v>214</v>
      </c>
      <c r="DZ1" t="s">
        <v>215</v>
      </c>
      <c r="EA1" t="s">
        <v>216</v>
      </c>
    </row>
    <row r="2" spans="1:136" x14ac:dyDescent="0.2">
      <c r="A2" t="s">
        <v>0</v>
      </c>
      <c r="S2" s="9"/>
      <c r="T2" s="6"/>
      <c r="U2" s="6"/>
      <c r="V2" s="4"/>
      <c r="W2" s="7"/>
      <c r="X2" s="7"/>
      <c r="Y2" s="8"/>
      <c r="Z2" s="7"/>
      <c r="AA2" s="7"/>
      <c r="AB2" s="7"/>
      <c r="AI2" s="11"/>
      <c r="AJ2" s="4"/>
      <c r="AK2" s="6"/>
      <c r="AL2" s="6"/>
      <c r="AM2" s="11"/>
      <c r="AN2" s="2"/>
      <c r="AR2" s="3"/>
      <c r="AS2" s="2"/>
      <c r="AT2" s="2"/>
      <c r="AU2" s="2"/>
      <c r="AV2" s="2"/>
      <c r="AW2" s="2"/>
      <c r="AX2" s="2"/>
      <c r="AY2" s="3"/>
      <c r="AZ2" s="3"/>
      <c r="BA2" s="2"/>
      <c r="BB2" s="3"/>
      <c r="BC2" s="3"/>
      <c r="BD2" s="3"/>
      <c r="BE2" s="3"/>
      <c r="BF2" s="3"/>
      <c r="BG2" s="3"/>
      <c r="BH2" s="3"/>
      <c r="BI2" s="3"/>
      <c r="BK2" s="7"/>
      <c r="BL2" s="3"/>
      <c r="BM2" s="3"/>
      <c r="BN2" s="3"/>
      <c r="BO2" s="12"/>
      <c r="BP2" s="12"/>
      <c r="BQ2" s="12"/>
      <c r="BR2" s="9"/>
      <c r="BS2" s="9"/>
      <c r="BT2" s="9"/>
      <c r="BU2" s="9"/>
      <c r="BV2" s="9"/>
    </row>
    <row r="3" spans="1:136" x14ac:dyDescent="0.2">
      <c r="A3" t="s">
        <v>84</v>
      </c>
      <c r="B3">
        <v>296.87715490105302</v>
      </c>
      <c r="C3">
        <v>292.77828898521699</v>
      </c>
      <c r="D3">
        <v>300.87122789751299</v>
      </c>
      <c r="E3">
        <v>920.33373161957797</v>
      </c>
      <c r="F3">
        <v>902.14503080255895</v>
      </c>
      <c r="G3">
        <v>940.94436556906203</v>
      </c>
      <c r="H3">
        <v>0</v>
      </c>
      <c r="I3">
        <v>0</v>
      </c>
      <c r="J3">
        <v>0</v>
      </c>
      <c r="K3">
        <v>1217.2108865206301</v>
      </c>
      <c r="L3">
        <v>1198.2911506902501</v>
      </c>
      <c r="M3">
        <v>1238.0246194264801</v>
      </c>
      <c r="N3">
        <v>828.57924763574101</v>
      </c>
      <c r="O3">
        <v>807.37875205738499</v>
      </c>
      <c r="P3">
        <v>849.09302061643803</v>
      </c>
      <c r="Q3">
        <v>0</v>
      </c>
      <c r="R3">
        <v>285.450080400133</v>
      </c>
      <c r="S3" s="9">
        <v>2331.2402145565102</v>
      </c>
      <c r="T3" s="6">
        <v>2249.7350110494999</v>
      </c>
      <c r="U3" s="6">
        <v>2417.4318377305399</v>
      </c>
      <c r="V3" s="4">
        <v>1000</v>
      </c>
      <c r="W3" s="7">
        <v>6.96176837504291E-3</v>
      </c>
      <c r="X3" s="7">
        <v>15.0295249</v>
      </c>
      <c r="Y3" s="8">
        <v>113</v>
      </c>
      <c r="Z3" s="7">
        <v>78493.850326203203</v>
      </c>
      <c r="AA3" s="7">
        <v>84570</v>
      </c>
      <c r="AB3" s="7">
        <v>326908</v>
      </c>
      <c r="AC3">
        <v>1.82507693639206</v>
      </c>
      <c r="AD3">
        <v>1749</v>
      </c>
      <c r="AE3">
        <v>1502</v>
      </c>
      <c r="AF3">
        <v>1054</v>
      </c>
      <c r="AG3">
        <v>483.39400000000001</v>
      </c>
      <c r="AH3">
        <v>1272</v>
      </c>
      <c r="AI3" s="11">
        <v>679</v>
      </c>
      <c r="AJ3" s="4">
        <v>374.86</v>
      </c>
      <c r="AK3" s="6">
        <v>582.32723530118596</v>
      </c>
      <c r="AL3" s="6" t="s">
        <v>32</v>
      </c>
      <c r="AM3" s="11" t="s">
        <v>32</v>
      </c>
      <c r="AN3" s="2" t="s">
        <v>433</v>
      </c>
      <c r="AO3" t="s">
        <v>32</v>
      </c>
      <c r="AP3">
        <v>179120</v>
      </c>
      <c r="AQ3">
        <v>3.8655933703088201</v>
      </c>
      <c r="AR3" s="3">
        <v>0.50861822288460201</v>
      </c>
      <c r="AS3" s="2">
        <v>3.54088225904854E-3</v>
      </c>
      <c r="AT3" s="2">
        <v>2.2015044607664899E-4</v>
      </c>
      <c r="AU3" s="2">
        <v>0.24391597401020901</v>
      </c>
      <c r="AV3" s="2">
        <v>0.75608402598979096</v>
      </c>
      <c r="AW3" s="2">
        <v>0</v>
      </c>
      <c r="AX3" s="2">
        <v>3.7821708792127899E-3</v>
      </c>
      <c r="AY3" s="17">
        <v>3.72995193596052E-3</v>
      </c>
      <c r="AZ3" s="3">
        <v>3.8330547762297101E-3</v>
      </c>
      <c r="BA3" s="3">
        <v>1.1724915108570599E-2</v>
      </c>
      <c r="BB3" s="3">
        <v>1.1493193760446699E-2</v>
      </c>
      <c r="BC3" s="3">
        <v>1.19874915252431E-2</v>
      </c>
      <c r="BD3" s="3">
        <v>0</v>
      </c>
      <c r="BE3" s="3">
        <v>0</v>
      </c>
      <c r="BF3" s="3">
        <v>0</v>
      </c>
      <c r="BG3" s="3">
        <v>1.5507085987783401E-2</v>
      </c>
      <c r="BH3" s="3">
        <v>1.52660513621184E-2</v>
      </c>
      <c r="BI3" s="3">
        <v>1.5772249855008101E-2</v>
      </c>
      <c r="BJ3">
        <v>2.9699654238751001E-2</v>
      </c>
      <c r="BK3" s="3">
        <v>-1.03836419245954E-3</v>
      </c>
      <c r="BL3" s="3">
        <v>1.09806848327409E-3</v>
      </c>
      <c r="BM3" s="3">
        <v>2.86612900462914E-2</v>
      </c>
      <c r="BN3" s="3">
        <v>3.0797722722025099E-2</v>
      </c>
      <c r="BO3" s="3">
        <v>1.0555976604439E-2</v>
      </c>
      <c r="BP3" s="3">
        <v>1.02858854381852E-2</v>
      </c>
      <c r="BQ3" s="3">
        <v>1.0817319026749201E-2</v>
      </c>
      <c r="BR3" s="9">
        <v>0</v>
      </c>
      <c r="BS3" s="9">
        <v>0</v>
      </c>
      <c r="BT3" s="9">
        <v>0</v>
      </c>
      <c r="BU3" s="9">
        <v>3.6365916465285501E-3</v>
      </c>
      <c r="BV3" s="9">
        <v>2.9820051501534099E-3</v>
      </c>
      <c r="BW3">
        <v>4.2911781429036903E-3</v>
      </c>
      <c r="BX3">
        <v>1.41925682509676E-2</v>
      </c>
      <c r="BY3">
        <v>1.32678905883387E-2</v>
      </c>
      <c r="BZ3">
        <v>1.5108497169652801E-2</v>
      </c>
      <c r="CA3">
        <v>9.7644037516748591E-3</v>
      </c>
      <c r="CB3">
        <v>8.3854399285395297E-3</v>
      </c>
      <c r="CC3">
        <v>0.91406615142733105</v>
      </c>
      <c r="CD3">
        <v>46337</v>
      </c>
      <c r="CE3">
        <v>2.2746401363920799E-2</v>
      </c>
      <c r="CF3">
        <v>5.7159039848646096E-3</v>
      </c>
      <c r="CG3">
        <v>1.04321384638626E-2</v>
      </c>
      <c r="CH3">
        <v>1748.9129792553199</v>
      </c>
      <c r="CI3">
        <v>1727.7124836769599</v>
      </c>
      <c r="CJ3">
        <v>1769.4267522360201</v>
      </c>
      <c r="CK3">
        <v>1748.9129792553199</v>
      </c>
      <c r="CL3">
        <v>1727.7124836769599</v>
      </c>
      <c r="CM3">
        <v>1769.4267522360201</v>
      </c>
      <c r="CN3">
        <v>582.32723530118596</v>
      </c>
      <c r="CO3">
        <v>526.84735491332594</v>
      </c>
      <c r="CP3">
        <v>637.70232276966999</v>
      </c>
      <c r="CQ3">
        <v>1146.21355535865</v>
      </c>
      <c r="CR3">
        <v>1114.2992319916</v>
      </c>
      <c r="CS3">
        <v>1181.0761269300301</v>
      </c>
      <c r="CT3">
        <v>102.194902200556</v>
      </c>
      <c r="CU3">
        <v>91.140713986142003</v>
      </c>
      <c r="CV3">
        <v>116.004566453617</v>
      </c>
      <c r="CW3">
        <v>80.551110443542896</v>
      </c>
      <c r="CX3">
        <v>67.564815371524404</v>
      </c>
      <c r="CY3">
        <v>95.532893003093704</v>
      </c>
      <c r="CZ3">
        <v>29.558306952804301</v>
      </c>
      <c r="DA3">
        <v>14.7648849605155</v>
      </c>
      <c r="DB3">
        <v>50.647236489838903</v>
      </c>
      <c r="DC3">
        <v>0</v>
      </c>
      <c r="DD3">
        <v>0</v>
      </c>
      <c r="DE3">
        <v>0</v>
      </c>
      <c r="DF3">
        <v>0.75020711121024097</v>
      </c>
      <c r="DG3">
        <v>0.75020711121024097</v>
      </c>
      <c r="DH3">
        <v>0.249792888789759</v>
      </c>
      <c r="DI3">
        <v>0.47786981622444102</v>
      </c>
      <c r="DJ3">
        <v>0.35542422702028498</v>
      </c>
      <c r="DK3">
        <v>1217.2108865206301</v>
      </c>
      <c r="DL3">
        <v>3.7477168852311902</v>
      </c>
      <c r="DM3">
        <v>1.69397782174511</v>
      </c>
      <c r="DN3">
        <v>1.14918517480515E-2</v>
      </c>
      <c r="DO3">
        <v>0.9</v>
      </c>
      <c r="DP3">
        <v>17.326203208556102</v>
      </c>
      <c r="DQ3">
        <v>3.6972426408804097E-2</v>
      </c>
      <c r="DR3">
        <v>-3.4962172922302401E-2</v>
      </c>
      <c r="DS3">
        <v>0</v>
      </c>
      <c r="DT3">
        <v>0</v>
      </c>
      <c r="DU3">
        <v>4.1377499270278898E-3</v>
      </c>
      <c r="DV3">
        <v>4.0492390682705E-3</v>
      </c>
      <c r="DW3">
        <v>4.2309590269936498E-3</v>
      </c>
      <c r="DX3">
        <v>6.5124999847487302E-3</v>
      </c>
      <c r="DY3">
        <v>7.4087833021432301E-3</v>
      </c>
      <c r="DZ3">
        <v>5.6162166673542303E-3</v>
      </c>
      <c r="EA3">
        <v>933.90923576174396</v>
      </c>
      <c r="EB3">
        <v>914.77033456573201</v>
      </c>
      <c r="EC3">
        <v>954.43275070431605</v>
      </c>
      <c r="ED3">
        <v>212.30431959690301</v>
      </c>
      <c r="EE3">
        <v>212.30431959690301</v>
      </c>
      <c r="EF3">
        <v>212.30431959690301</v>
      </c>
    </row>
    <row r="4" spans="1:136" x14ac:dyDescent="0.2">
      <c r="A4" t="s">
        <v>19</v>
      </c>
      <c r="S4" s="9"/>
      <c r="T4" s="6"/>
      <c r="U4" s="6"/>
      <c r="V4" s="4"/>
      <c r="W4" s="7"/>
      <c r="X4" s="7"/>
      <c r="Y4" s="8"/>
      <c r="Z4" s="7"/>
      <c r="AA4" s="7"/>
      <c r="AB4" s="7"/>
      <c r="AI4" s="11"/>
      <c r="AJ4" s="4"/>
      <c r="AK4" s="6"/>
      <c r="AL4" s="6"/>
      <c r="AM4" s="11"/>
      <c r="AN4" s="2"/>
      <c r="AR4" s="3"/>
      <c r="AS4" s="2"/>
      <c r="AT4" s="2"/>
      <c r="AU4" s="2"/>
      <c r="AV4" s="2"/>
      <c r="AW4" s="2"/>
      <c r="AX4" s="2"/>
      <c r="AY4" s="3"/>
      <c r="AZ4" s="3"/>
      <c r="BA4" s="2"/>
      <c r="BB4" s="2"/>
      <c r="BC4" s="3"/>
      <c r="BD4" s="3"/>
      <c r="BE4" s="3"/>
      <c r="BF4" s="3"/>
      <c r="BG4" s="3"/>
      <c r="BH4" s="3"/>
      <c r="BI4" s="3"/>
      <c r="BK4" s="7"/>
      <c r="BL4" s="3"/>
      <c r="BM4" s="3"/>
      <c r="BN4" s="3"/>
      <c r="BO4" s="12"/>
      <c r="BP4" s="12"/>
      <c r="BQ4" s="12"/>
      <c r="BR4" s="9"/>
      <c r="BS4" s="9"/>
      <c r="BT4" s="9"/>
      <c r="BU4" s="9"/>
      <c r="BV4" s="9"/>
    </row>
    <row r="5" spans="1:136" x14ac:dyDescent="0.2">
      <c r="A5" t="s">
        <v>1</v>
      </c>
      <c r="S5" s="9"/>
      <c r="T5" s="6"/>
      <c r="U5" s="6"/>
      <c r="V5" s="4"/>
      <c r="W5" s="7"/>
      <c r="X5" s="7"/>
      <c r="Y5" s="8"/>
      <c r="Z5" s="7"/>
      <c r="AA5" s="7"/>
      <c r="AB5" s="7"/>
      <c r="AI5" s="11"/>
      <c r="AJ5" s="4"/>
      <c r="AK5" s="6"/>
      <c r="AL5" s="6"/>
      <c r="AM5" s="11"/>
      <c r="AN5" s="2"/>
      <c r="AR5" s="3"/>
      <c r="AS5" s="2"/>
      <c r="AT5" s="2"/>
      <c r="AU5" s="2"/>
      <c r="AV5" s="2"/>
      <c r="AW5" s="2"/>
      <c r="AX5" s="2"/>
      <c r="AY5" s="3"/>
      <c r="AZ5" s="3"/>
      <c r="BA5" s="2"/>
      <c r="BB5" s="2"/>
      <c r="BC5" s="3"/>
      <c r="BD5" s="3"/>
      <c r="BE5" s="3"/>
      <c r="BF5" s="3"/>
      <c r="BG5" s="3"/>
      <c r="BH5" s="3"/>
      <c r="BI5" s="3"/>
      <c r="BK5" s="7"/>
      <c r="BL5" s="3"/>
      <c r="BM5" s="3"/>
      <c r="BN5" s="3"/>
      <c r="BO5" s="12"/>
      <c r="BP5" s="12"/>
      <c r="BQ5" s="12"/>
      <c r="BR5" s="9"/>
      <c r="BS5" s="9"/>
      <c r="BT5" s="9"/>
      <c r="BU5" s="9"/>
      <c r="BV5" s="9"/>
    </row>
    <row r="6" spans="1:136" x14ac:dyDescent="0.2">
      <c r="A6" t="s">
        <v>2</v>
      </c>
      <c r="S6" s="9"/>
      <c r="T6" s="6"/>
      <c r="U6" s="6"/>
      <c r="V6" s="4"/>
      <c r="W6" s="7"/>
      <c r="X6" s="7"/>
      <c r="Y6" s="8"/>
      <c r="Z6" s="7"/>
      <c r="AA6" s="7"/>
      <c r="AB6" s="7"/>
      <c r="AI6" s="11"/>
      <c r="AJ6" s="4"/>
      <c r="AK6" s="6"/>
      <c r="AL6" s="6"/>
      <c r="AM6" s="11"/>
      <c r="AN6" s="2"/>
      <c r="AR6" s="3"/>
      <c r="AS6" s="2"/>
      <c r="AT6" s="2"/>
      <c r="AU6" s="2"/>
      <c r="AV6" s="2"/>
      <c r="AW6" s="2"/>
      <c r="AX6" s="2"/>
      <c r="AY6" s="3"/>
      <c r="AZ6" s="3"/>
      <c r="BA6" s="2"/>
      <c r="BB6" s="2"/>
      <c r="BC6" s="3"/>
      <c r="BD6" s="3"/>
      <c r="BE6" s="3"/>
      <c r="BF6" s="3"/>
      <c r="BG6" s="3"/>
      <c r="BH6" s="3"/>
      <c r="BI6" s="3"/>
      <c r="BK6" s="7"/>
      <c r="BL6" s="3"/>
      <c r="BM6" s="3"/>
      <c r="BN6" s="3"/>
      <c r="BO6" s="12"/>
      <c r="BP6" s="12"/>
      <c r="BQ6" s="12"/>
      <c r="BR6" s="9"/>
      <c r="BS6" s="9"/>
      <c r="BT6" s="9"/>
      <c r="BU6" s="9"/>
      <c r="BV6" s="9"/>
    </row>
    <row r="7" spans="1:136" x14ac:dyDescent="0.2">
      <c r="A7" t="s">
        <v>26</v>
      </c>
      <c r="S7" s="9"/>
      <c r="T7" s="6"/>
      <c r="U7" s="6"/>
      <c r="V7" s="4"/>
      <c r="W7" s="7"/>
      <c r="X7" s="7"/>
      <c r="Y7" s="8"/>
      <c r="Z7" s="7"/>
      <c r="AA7" s="7"/>
      <c r="AB7" s="7"/>
      <c r="AI7" s="11"/>
      <c r="AJ7" s="4"/>
      <c r="AK7" s="6"/>
      <c r="AL7" s="6"/>
      <c r="AM7" s="11"/>
      <c r="AN7" s="2"/>
      <c r="AR7" s="3"/>
      <c r="AS7" s="2"/>
      <c r="AT7" s="2"/>
      <c r="AU7" s="2"/>
      <c r="AV7" s="2"/>
      <c r="AW7" s="2"/>
      <c r="AX7" s="2"/>
      <c r="AY7" s="3"/>
      <c r="AZ7" s="3"/>
      <c r="BA7" s="2"/>
      <c r="BB7" s="2"/>
      <c r="BC7" s="3"/>
      <c r="BD7" s="3"/>
      <c r="BE7" s="3"/>
      <c r="BF7" s="3"/>
      <c r="BG7" s="3"/>
      <c r="BH7" s="3"/>
      <c r="BI7" s="3"/>
      <c r="BK7" s="7"/>
      <c r="BL7" s="3"/>
      <c r="BM7" s="3"/>
      <c r="BN7" s="3"/>
      <c r="BO7" s="12"/>
      <c r="BP7" s="12"/>
      <c r="BQ7" s="12"/>
      <c r="BR7" s="9"/>
      <c r="BS7" s="9"/>
      <c r="BT7" s="9"/>
      <c r="BU7" s="9"/>
      <c r="BV7" s="9"/>
    </row>
    <row r="8" spans="1:136" x14ac:dyDescent="0.2">
      <c r="A8" t="s">
        <v>27</v>
      </c>
      <c r="S8" s="9"/>
      <c r="T8" s="6"/>
      <c r="U8" s="6"/>
      <c r="V8" s="4"/>
      <c r="W8" s="7"/>
      <c r="X8" s="7"/>
      <c r="Y8" s="8"/>
      <c r="Z8" s="7"/>
      <c r="AA8" s="7"/>
      <c r="AB8" s="7"/>
      <c r="AI8" s="11"/>
      <c r="AJ8" s="4"/>
      <c r="AK8" s="6"/>
      <c r="AL8" s="6"/>
      <c r="AM8" s="11"/>
      <c r="AN8" s="2"/>
      <c r="AR8" s="3"/>
      <c r="AS8" s="2"/>
      <c r="AT8" s="2"/>
      <c r="AU8" s="2"/>
      <c r="AV8" s="2"/>
      <c r="AW8" s="2"/>
      <c r="AX8" s="2"/>
      <c r="AY8" s="3"/>
      <c r="AZ8" s="3"/>
      <c r="BA8" s="2"/>
      <c r="BB8" s="2"/>
      <c r="BC8" s="3"/>
      <c r="BD8" s="3"/>
      <c r="BE8" s="3"/>
      <c r="BF8" s="3"/>
      <c r="BG8" s="3"/>
      <c r="BH8" s="3"/>
      <c r="BI8" s="3"/>
      <c r="BK8" s="7"/>
      <c r="BL8" s="3"/>
      <c r="BM8" s="3"/>
      <c r="BN8" s="3"/>
      <c r="BO8" s="12"/>
      <c r="BP8" s="12"/>
      <c r="BQ8" s="12"/>
      <c r="BR8" s="9"/>
      <c r="BS8" s="9"/>
      <c r="BT8" s="9"/>
      <c r="BU8" s="9"/>
      <c r="BV8" s="9"/>
    </row>
    <row r="9" spans="1:136" x14ac:dyDescent="0.2">
      <c r="A9" t="s">
        <v>6</v>
      </c>
      <c r="S9" s="9"/>
      <c r="T9" s="6"/>
      <c r="U9" s="6"/>
      <c r="V9" s="4"/>
      <c r="W9" s="7"/>
      <c r="X9" s="7"/>
      <c r="Y9" s="8"/>
      <c r="Z9" s="7"/>
      <c r="AA9" s="7"/>
      <c r="AB9" s="7"/>
      <c r="AI9" s="11"/>
      <c r="AJ9" s="4"/>
      <c r="AK9" s="6"/>
      <c r="AL9" s="6"/>
      <c r="AM9" s="11"/>
      <c r="AN9" s="2"/>
      <c r="AR9" s="3"/>
      <c r="AS9" s="2"/>
      <c r="AT9" s="2"/>
      <c r="AU9" s="2"/>
      <c r="AV9" s="2"/>
      <c r="AW9" s="2"/>
      <c r="AX9" s="2"/>
      <c r="AY9" s="3"/>
      <c r="AZ9" s="3"/>
      <c r="BA9" s="2"/>
      <c r="BB9" s="2"/>
      <c r="BC9" s="3"/>
      <c r="BD9" s="3"/>
      <c r="BE9" s="3"/>
      <c r="BF9" s="3"/>
      <c r="BG9" s="3"/>
      <c r="BH9" s="3"/>
      <c r="BI9" s="3"/>
      <c r="BK9" s="7"/>
      <c r="BL9" s="3"/>
      <c r="BM9" s="3"/>
      <c r="BN9" s="3"/>
      <c r="BO9" s="12"/>
      <c r="BP9" s="12"/>
      <c r="BQ9" s="12"/>
      <c r="BR9" s="9"/>
      <c r="BS9" s="9"/>
      <c r="BT9" s="9"/>
      <c r="BU9" s="9"/>
      <c r="BV9" s="9"/>
    </row>
    <row r="10" spans="1:136" x14ac:dyDescent="0.2">
      <c r="A10" t="s">
        <v>4</v>
      </c>
      <c r="S10" s="9"/>
      <c r="T10" s="6"/>
      <c r="U10" s="6"/>
      <c r="V10" s="4"/>
      <c r="W10" s="7"/>
      <c r="X10" s="7"/>
      <c r="Y10" s="8"/>
      <c r="Z10" s="7"/>
      <c r="AA10" s="7"/>
      <c r="AB10" s="7"/>
      <c r="AI10" s="11"/>
      <c r="AJ10" s="4"/>
      <c r="AK10" s="6"/>
      <c r="AL10" s="6"/>
      <c r="AM10" s="11"/>
      <c r="AN10" s="2"/>
      <c r="AR10" s="3"/>
      <c r="AS10" s="2"/>
      <c r="AT10" s="2"/>
      <c r="AU10" s="2"/>
      <c r="AV10" s="2"/>
      <c r="AW10" s="2"/>
      <c r="AX10" s="2"/>
      <c r="AY10" s="3"/>
      <c r="AZ10" s="3"/>
      <c r="BA10" s="2"/>
      <c r="BB10" s="2"/>
      <c r="BC10" s="3"/>
      <c r="BD10" s="3"/>
      <c r="BE10" s="3"/>
      <c r="BF10" s="3"/>
      <c r="BG10" s="3"/>
      <c r="BH10" s="3"/>
      <c r="BI10" s="3"/>
      <c r="BK10" s="7"/>
      <c r="BL10" s="3"/>
      <c r="BM10" s="3"/>
      <c r="BN10" s="3"/>
      <c r="BO10" s="12"/>
      <c r="BP10" s="12"/>
      <c r="BQ10" s="12"/>
      <c r="BR10" s="9"/>
      <c r="BS10" s="9"/>
      <c r="BT10" s="9"/>
      <c r="BU10" s="9"/>
      <c r="BV10" s="9"/>
    </row>
    <row r="11" spans="1:136" x14ac:dyDescent="0.2">
      <c r="A11" t="s">
        <v>3</v>
      </c>
      <c r="S11" s="9"/>
      <c r="T11" s="6"/>
      <c r="U11" s="6"/>
      <c r="V11" s="4"/>
      <c r="W11" s="7"/>
      <c r="X11" s="7"/>
      <c r="Y11" s="8"/>
      <c r="Z11" s="7"/>
      <c r="AA11" s="7"/>
      <c r="AB11" s="7"/>
      <c r="AI11" s="11"/>
      <c r="AJ11" s="4"/>
      <c r="AK11" s="6"/>
      <c r="AL11" s="6"/>
      <c r="AM11" s="11"/>
      <c r="AN11" s="2"/>
      <c r="AR11" s="3"/>
      <c r="AS11" s="2"/>
      <c r="AT11" s="2"/>
      <c r="AU11" s="2"/>
      <c r="AV11" s="2"/>
      <c r="AW11" s="2"/>
      <c r="AX11" s="2"/>
      <c r="AY11" s="3"/>
      <c r="AZ11" s="3"/>
      <c r="BA11" s="2"/>
      <c r="BB11" s="2"/>
      <c r="BC11" s="3"/>
      <c r="BD11" s="3"/>
      <c r="BE11" s="3"/>
      <c r="BF11" s="3"/>
      <c r="BG11" s="3"/>
      <c r="BH11" s="3"/>
      <c r="BI11" s="3"/>
      <c r="BK11" s="7"/>
      <c r="BL11" s="3"/>
      <c r="BM11" s="3"/>
      <c r="BN11" s="3"/>
      <c r="BO11" s="12"/>
      <c r="BP11" s="12"/>
      <c r="BQ11" s="12"/>
      <c r="BR11" s="9"/>
      <c r="BS11" s="9"/>
      <c r="BT11" s="9"/>
      <c r="BU11" s="9"/>
      <c r="BV11" s="9"/>
    </row>
    <row r="12" spans="1:136" x14ac:dyDescent="0.2">
      <c r="A12" t="s">
        <v>5</v>
      </c>
      <c r="S12" s="9"/>
      <c r="T12" s="6"/>
      <c r="U12" s="6"/>
      <c r="V12" s="4"/>
      <c r="W12" s="7"/>
      <c r="X12" s="7"/>
      <c r="Y12" s="8"/>
      <c r="Z12" s="7"/>
      <c r="AA12" s="7"/>
      <c r="AB12" s="7"/>
      <c r="AI12" s="11"/>
      <c r="AJ12" s="4"/>
      <c r="AK12" s="6"/>
      <c r="AL12" s="6"/>
      <c r="AM12" s="11"/>
      <c r="AN12" s="2"/>
      <c r="AR12" s="3"/>
      <c r="AS12" s="2"/>
      <c r="AT12" s="2"/>
      <c r="AU12" s="2"/>
      <c r="AV12" s="2"/>
      <c r="AW12" s="2"/>
      <c r="AX12" s="2"/>
      <c r="AY12" s="3"/>
      <c r="AZ12" s="3"/>
      <c r="BA12" s="2"/>
      <c r="BB12" s="2"/>
      <c r="BC12" s="3"/>
      <c r="BD12" s="3"/>
      <c r="BE12" s="3"/>
      <c r="BF12" s="3"/>
      <c r="BG12" s="3"/>
      <c r="BH12" s="3"/>
      <c r="BI12" s="3"/>
      <c r="BK12" s="7"/>
      <c r="BL12" s="3"/>
      <c r="BM12" s="3"/>
      <c r="BN12" s="3"/>
      <c r="BO12" s="12"/>
      <c r="BP12" s="12"/>
      <c r="BQ12" s="12"/>
      <c r="BR12" s="9"/>
      <c r="BS12" s="9"/>
      <c r="BT12" s="9"/>
      <c r="BU12" s="9"/>
      <c r="BV12" s="9"/>
    </row>
    <row r="13" spans="1:136" x14ac:dyDescent="0.2">
      <c r="A13" t="s">
        <v>8</v>
      </c>
      <c r="S13" s="9"/>
      <c r="T13" s="6"/>
      <c r="U13" s="6"/>
      <c r="V13" s="4"/>
      <c r="W13" s="7"/>
      <c r="X13" s="7"/>
      <c r="Y13" s="8"/>
      <c r="Z13" s="7"/>
      <c r="AA13" s="7"/>
      <c r="AB13" s="7"/>
      <c r="AI13" s="11"/>
      <c r="AJ13" s="4"/>
      <c r="AK13" s="6"/>
      <c r="AL13" s="6"/>
      <c r="AM13" s="11"/>
      <c r="AN13" s="2"/>
      <c r="AR13" s="3"/>
      <c r="AS13" s="2"/>
      <c r="AT13" s="2"/>
      <c r="AU13" s="2"/>
      <c r="AV13" s="2"/>
      <c r="AW13" s="2"/>
      <c r="AX13" s="2"/>
      <c r="AY13" s="3"/>
      <c r="AZ13" s="3"/>
      <c r="BA13" s="2"/>
      <c r="BB13" s="2"/>
      <c r="BC13" s="3"/>
      <c r="BD13" s="3"/>
      <c r="BE13" s="3"/>
      <c r="BF13" s="3"/>
      <c r="BG13" s="3"/>
      <c r="BH13" s="3"/>
      <c r="BI13" s="3"/>
      <c r="BK13" s="7"/>
      <c r="BL13" s="3"/>
      <c r="BM13" s="3"/>
      <c r="BN13" s="3"/>
      <c r="BO13" s="12"/>
      <c r="BP13" s="12"/>
      <c r="BQ13" s="12"/>
      <c r="BR13" s="9"/>
      <c r="BS13" s="9"/>
      <c r="BT13" s="9"/>
      <c r="BU13" s="9"/>
      <c r="BV13" s="9"/>
    </row>
    <row r="14" spans="1:136" x14ac:dyDescent="0.2">
      <c r="A14" t="s">
        <v>7</v>
      </c>
      <c r="S14" s="9"/>
      <c r="T14" s="6"/>
      <c r="U14" s="6"/>
      <c r="V14" s="4"/>
      <c r="W14" s="7"/>
      <c r="X14" s="7"/>
      <c r="Y14" s="8"/>
      <c r="Z14" s="7"/>
      <c r="AA14" s="7"/>
      <c r="AB14" s="7"/>
      <c r="AI14" s="11"/>
      <c r="AJ14" s="4"/>
      <c r="AK14" s="6"/>
      <c r="AL14" s="6"/>
      <c r="AM14" s="11"/>
      <c r="AN14" s="2"/>
      <c r="AR14" s="3"/>
      <c r="AS14" s="2"/>
      <c r="AT14" s="2"/>
      <c r="AU14" s="2"/>
      <c r="AV14" s="2"/>
      <c r="AW14" s="2"/>
      <c r="AX14" s="2"/>
      <c r="AY14" s="3"/>
      <c r="AZ14" s="3"/>
      <c r="BA14" s="2"/>
      <c r="BB14" s="2"/>
      <c r="BC14" s="3"/>
      <c r="BD14" s="3"/>
      <c r="BE14" s="3"/>
      <c r="BF14" s="3"/>
      <c r="BG14" s="3"/>
      <c r="BH14" s="3"/>
      <c r="BI14" s="3"/>
      <c r="BK14" s="7"/>
      <c r="BL14" s="3"/>
      <c r="BM14" s="3"/>
      <c r="BN14" s="3"/>
      <c r="BO14" s="12"/>
      <c r="BP14" s="12"/>
      <c r="BQ14" s="12"/>
      <c r="BR14" s="9"/>
      <c r="BS14" s="9"/>
      <c r="BT14" s="9"/>
      <c r="BU14" s="9"/>
      <c r="BV14" s="9"/>
    </row>
    <row r="15" spans="1:136" x14ac:dyDescent="0.2">
      <c r="A15" t="s">
        <v>9</v>
      </c>
      <c r="S15" s="9"/>
      <c r="T15" s="6"/>
      <c r="U15" s="6"/>
      <c r="V15" s="4"/>
      <c r="W15" s="7"/>
      <c r="X15" s="7"/>
      <c r="Y15" s="8"/>
      <c r="Z15" s="7"/>
      <c r="AA15" s="7"/>
      <c r="AB15" s="7"/>
      <c r="AI15" s="11"/>
      <c r="AJ15" s="4"/>
      <c r="AK15" s="6"/>
      <c r="AL15" s="6"/>
      <c r="AM15" s="11"/>
      <c r="AN15" s="2"/>
      <c r="AR15" s="3"/>
      <c r="AS15" s="2"/>
      <c r="AT15" s="2"/>
      <c r="AU15" s="2"/>
      <c r="AV15" s="2"/>
      <c r="AW15" s="2"/>
      <c r="AX15" s="2"/>
      <c r="AY15" s="3"/>
      <c r="AZ15" s="3"/>
      <c r="BA15" s="2"/>
      <c r="BB15" s="2"/>
      <c r="BC15" s="3"/>
      <c r="BD15" s="3"/>
      <c r="BE15" s="3"/>
      <c r="BF15" s="3"/>
      <c r="BG15" s="3"/>
      <c r="BH15" s="3"/>
      <c r="BI15" s="3"/>
      <c r="BK15" s="7"/>
      <c r="BL15" s="3"/>
      <c r="BM15" s="3"/>
      <c r="BN15" s="3"/>
      <c r="BO15" s="12"/>
      <c r="BP15" s="12"/>
      <c r="BQ15" s="12"/>
      <c r="BR15" s="9"/>
      <c r="BS15" s="9"/>
      <c r="BT15" s="9"/>
      <c r="BU15" s="9"/>
      <c r="BV15" s="9"/>
    </row>
    <row r="16" spans="1:136" x14ac:dyDescent="0.2">
      <c r="A16" t="s">
        <v>10</v>
      </c>
      <c r="S16" s="9"/>
      <c r="U16" s="6"/>
      <c r="AI16" s="11"/>
      <c r="AJ16" s="4"/>
      <c r="AK16" s="6"/>
      <c r="AL16" s="6"/>
      <c r="AM16" s="11"/>
      <c r="AN16" s="2"/>
      <c r="AR16" s="3"/>
      <c r="AS16" s="2"/>
      <c r="AT16" s="2"/>
      <c r="AU16" s="2"/>
      <c r="AV16" s="2"/>
      <c r="AW16" s="2"/>
      <c r="AX16" s="2"/>
      <c r="AY16" s="3"/>
      <c r="AZ16" s="3"/>
      <c r="BA16" s="2"/>
      <c r="BB16" s="2"/>
      <c r="BC16" s="3"/>
      <c r="BD16" s="3"/>
      <c r="BE16" s="3"/>
      <c r="BF16" s="3"/>
      <c r="BG16" s="3"/>
      <c r="BH16" s="3"/>
      <c r="BI16" s="3"/>
      <c r="BK16" s="7"/>
      <c r="BL16" s="3"/>
      <c r="BM16" s="3"/>
      <c r="BN16" s="3"/>
      <c r="BO16" s="12"/>
      <c r="BP16" s="12"/>
      <c r="BQ16" s="12"/>
      <c r="BR16" s="9"/>
      <c r="BS16" s="9"/>
      <c r="BT16" s="9"/>
      <c r="BU16" s="9"/>
      <c r="BV16" s="9"/>
    </row>
    <row r="17" spans="1:74" x14ac:dyDescent="0.2">
      <c r="A17" t="s">
        <v>11</v>
      </c>
      <c r="S17" s="9"/>
      <c r="T17" s="6"/>
      <c r="U17" s="6"/>
      <c r="V17" s="4"/>
      <c r="W17" s="7"/>
      <c r="X17" s="7"/>
      <c r="Y17" s="8"/>
      <c r="Z17" s="7"/>
      <c r="AA17" s="7"/>
      <c r="AB17" s="7"/>
      <c r="AI17" s="11"/>
      <c r="AJ17" s="4"/>
      <c r="AK17" s="6"/>
      <c r="AL17" s="6"/>
      <c r="AM17" s="11"/>
      <c r="AN17" s="2"/>
      <c r="AR17" s="3"/>
      <c r="AS17" s="2"/>
      <c r="AT17" s="2"/>
      <c r="AU17" s="2"/>
      <c r="AV17" s="2"/>
      <c r="AW17" s="2"/>
      <c r="AX17" s="2"/>
      <c r="AY17" s="3"/>
      <c r="AZ17" s="3"/>
      <c r="BA17" s="2"/>
      <c r="BB17" s="2"/>
      <c r="BC17" s="3"/>
      <c r="BD17" s="3"/>
      <c r="BE17" s="3"/>
      <c r="BF17" s="3"/>
      <c r="BG17" s="3"/>
      <c r="BH17" s="3"/>
      <c r="BI17" s="3"/>
      <c r="BK17" s="7"/>
      <c r="BL17" s="3"/>
      <c r="BM17" s="3"/>
      <c r="BN17" s="3"/>
      <c r="BO17" s="12"/>
      <c r="BP17" s="12"/>
      <c r="BQ17" s="12"/>
      <c r="BR17" s="9"/>
      <c r="BS17" s="9"/>
      <c r="BT17" s="9"/>
      <c r="BU17" s="9"/>
      <c r="BV17" s="9"/>
    </row>
    <row r="18" spans="1:74" x14ac:dyDescent="0.2">
      <c r="A18" t="s">
        <v>41</v>
      </c>
      <c r="S18" s="9"/>
      <c r="U18" s="6"/>
      <c r="AI18" s="11"/>
      <c r="AJ18" s="4"/>
      <c r="AK18" s="6"/>
      <c r="AL18" s="6"/>
      <c r="AM18" s="11"/>
      <c r="AN18" s="2"/>
      <c r="AR18" s="3"/>
      <c r="AS18" s="2"/>
      <c r="AT18" s="2"/>
      <c r="AU18" s="2"/>
      <c r="AV18" s="2"/>
      <c r="AW18" s="2"/>
      <c r="AX18" s="2"/>
      <c r="AY18" s="3"/>
      <c r="AZ18" s="3"/>
      <c r="BA18" s="2"/>
      <c r="BB18" s="2"/>
      <c r="BC18" s="3"/>
      <c r="BD18" s="3"/>
      <c r="BE18" s="3"/>
      <c r="BF18" s="3"/>
      <c r="BG18" s="3"/>
      <c r="BH18" s="3"/>
      <c r="BI18" s="3"/>
      <c r="BK18" s="7"/>
      <c r="BL18" s="3"/>
      <c r="BM18" s="3"/>
      <c r="BN18" s="3"/>
      <c r="BO18" s="12"/>
      <c r="BP18" s="12"/>
      <c r="BQ18" s="12"/>
      <c r="BR18" s="9"/>
      <c r="BS18" s="9"/>
      <c r="BT18" s="9"/>
      <c r="BU18" s="9"/>
      <c r="BV18" s="9"/>
    </row>
    <row r="19" spans="1:74" x14ac:dyDescent="0.2">
      <c r="A19" t="s">
        <v>42</v>
      </c>
      <c r="S19" s="9"/>
      <c r="U19" s="6"/>
      <c r="W19" s="10"/>
      <c r="X19" s="10"/>
      <c r="AI19" s="11"/>
      <c r="AJ19" s="4"/>
      <c r="AK19" s="6"/>
      <c r="AL19" s="6"/>
      <c r="AM19" s="11"/>
      <c r="AN19" s="2"/>
      <c r="AR19" s="3"/>
      <c r="AS19" s="2"/>
      <c r="AT19" s="2"/>
      <c r="AU19" s="2"/>
      <c r="AV19" s="2"/>
      <c r="AW19" s="2"/>
      <c r="AX19" s="2"/>
      <c r="AY19" s="3"/>
      <c r="AZ19" s="3"/>
      <c r="BA19" s="2"/>
      <c r="BB19" s="2"/>
      <c r="BC19" s="3"/>
      <c r="BD19" s="3"/>
      <c r="BE19" s="3"/>
      <c r="BF19" s="3"/>
      <c r="BG19" s="3"/>
      <c r="BH19" s="3"/>
      <c r="BI19" s="3"/>
      <c r="BK19" s="7"/>
      <c r="BL19" s="3"/>
      <c r="BM19" s="3"/>
      <c r="BN19" s="3"/>
      <c r="BO19" s="12"/>
      <c r="BP19" s="12"/>
      <c r="BQ19" s="12"/>
      <c r="BR19" s="9"/>
      <c r="BS19" s="9"/>
      <c r="BT19" s="9"/>
      <c r="BU19" s="9"/>
      <c r="BV19" s="9"/>
    </row>
    <row r="20" spans="1:74" x14ac:dyDescent="0.2">
      <c r="A20" t="s">
        <v>43</v>
      </c>
      <c r="S20" s="9"/>
      <c r="U20" s="6"/>
      <c r="AI20" s="11"/>
      <c r="AJ20" s="4"/>
      <c r="AK20" s="6"/>
      <c r="AL20" s="6"/>
      <c r="AM20" s="11"/>
      <c r="AN20" s="2"/>
      <c r="AR20" s="3"/>
      <c r="AS20" s="2"/>
      <c r="AT20" s="2"/>
      <c r="AU20" s="2"/>
      <c r="AV20" s="2"/>
      <c r="AW20" s="2"/>
      <c r="AX20" s="2"/>
      <c r="AY20" s="3"/>
      <c r="AZ20" s="3"/>
      <c r="BA20" s="2"/>
      <c r="BB20" s="2"/>
      <c r="BC20" s="3"/>
      <c r="BD20" s="3"/>
      <c r="BE20" s="3"/>
      <c r="BF20" s="3"/>
      <c r="BG20" s="3"/>
      <c r="BH20" s="3"/>
      <c r="BI20" s="3"/>
      <c r="BK20" s="7"/>
      <c r="BL20" s="3"/>
      <c r="BM20" s="3"/>
      <c r="BN20" s="3"/>
      <c r="BO20" s="12"/>
      <c r="BP20" s="12"/>
      <c r="BQ20" s="12"/>
      <c r="BR20" s="9"/>
      <c r="BS20" s="9"/>
      <c r="BT20" s="9"/>
      <c r="BU20" s="9"/>
      <c r="BV20" s="9"/>
    </row>
    <row r="21" spans="1:74" x14ac:dyDescent="0.2">
      <c r="A21" t="s">
        <v>68</v>
      </c>
      <c r="U21" s="4"/>
      <c r="V21" s="7"/>
      <c r="AI21" s="11"/>
      <c r="AJ21" s="4"/>
      <c r="AK21" s="6"/>
      <c r="AL21" s="6"/>
      <c r="AM21" s="6"/>
      <c r="AN21" s="6"/>
      <c r="AR21" s="3"/>
      <c r="AS21" s="2"/>
      <c r="AT21" s="2"/>
      <c r="AU21" s="2"/>
      <c r="AV21" s="2"/>
      <c r="AW21" s="2"/>
      <c r="AX21" s="2"/>
      <c r="AY21" s="3"/>
      <c r="AZ21" s="3"/>
      <c r="BA21" s="2"/>
      <c r="BB21" s="2"/>
      <c r="BC21" s="3"/>
      <c r="BD21" s="3"/>
      <c r="BE21" s="3"/>
      <c r="BF21" s="3"/>
      <c r="BG21" s="3"/>
      <c r="BH21" s="3"/>
      <c r="BI21" s="3"/>
      <c r="BK21" s="7"/>
      <c r="BL21" s="3"/>
      <c r="BM21" s="3"/>
      <c r="BN21" s="3"/>
    </row>
    <row r="22" spans="1:74" x14ac:dyDescent="0.2">
      <c r="A22" t="s">
        <v>45</v>
      </c>
      <c r="V22" s="10">
        <f>V17+V4+V15+V13+V7+V3</f>
        <v>1000</v>
      </c>
      <c r="W22" s="10">
        <f>W17+W4+W15+W13+W7+W3</f>
        <v>6.96176837504291E-3</v>
      </c>
      <c r="X22" s="10">
        <f>SUM(X2:X17)</f>
        <v>15.0295249</v>
      </c>
      <c r="AC22" s="10">
        <f>AC17+AC4+AC15+AC13+AC7+AC3</f>
        <v>1.82507693639206</v>
      </c>
      <c r="AD22" s="10"/>
      <c r="AE22" s="10"/>
      <c r="AI22" s="11"/>
      <c r="AJ22" s="10"/>
      <c r="BK22" s="10"/>
      <c r="BN22" s="3"/>
      <c r="BO22" s="3"/>
      <c r="BP22" s="12"/>
      <c r="BQ22" s="12"/>
      <c r="BR22" s="12"/>
      <c r="BS22" s="12"/>
      <c r="BT22" s="12"/>
      <c r="BU22" s="12"/>
      <c r="BV22" s="12"/>
    </row>
    <row r="23" spans="1:74" x14ac:dyDescent="0.2">
      <c r="A23" t="s">
        <v>46</v>
      </c>
      <c r="AC23">
        <f>SUM(AC2:AC17)</f>
        <v>1.82507693639206</v>
      </c>
      <c r="AI23" s="11"/>
      <c r="AJ23" s="4"/>
      <c r="BK23" s="10"/>
      <c r="BN23" s="3"/>
      <c r="BO23" s="3"/>
      <c r="BP23" s="12"/>
      <c r="BQ23" s="12"/>
      <c r="BR23" s="12"/>
      <c r="BS23" s="12"/>
      <c r="BT23" s="12"/>
      <c r="BU23" s="12"/>
      <c r="BV23" s="12"/>
    </row>
    <row r="24" spans="1:74" x14ac:dyDescent="0.2">
      <c r="U24" t="s">
        <v>77</v>
      </c>
      <c r="V24" s="14">
        <f>V22/V25</f>
        <v>1.1726545662574755E-2</v>
      </c>
      <c r="BP24" s="13"/>
      <c r="BQ24" s="13"/>
      <c r="BR24" s="13"/>
      <c r="BS24" s="13"/>
      <c r="BT24" s="13"/>
      <c r="BU24" s="13"/>
      <c r="BV24" s="13"/>
    </row>
    <row r="25" spans="1:74" x14ac:dyDescent="0.2">
      <c r="U25" t="s">
        <v>78</v>
      </c>
      <c r="V25">
        <v>85276.604788356199</v>
      </c>
      <c r="BP25" s="13"/>
      <c r="BQ25" s="13"/>
      <c r="BR25" s="13"/>
      <c r="BS25" s="13"/>
      <c r="BT25" s="13"/>
      <c r="BU25" s="13"/>
      <c r="BV25"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57D5C-511D-1C41-8C5C-1AA8ED32F13E}">
  <dimension ref="A1:EF25"/>
  <sheetViews>
    <sheetView workbookViewId="0">
      <pane xSplit="1" ySplit="1" topLeftCell="B2" activePane="bottomRight" state="frozen"/>
      <selection pane="topRight" activeCell="B1" sqref="B1"/>
      <selection pane="bottomLeft" activeCell="A2" sqref="A2"/>
      <selection pane="bottomRight" activeCell="A5" sqref="A5:EF5"/>
    </sheetView>
  </sheetViews>
  <sheetFormatPr baseColWidth="10" defaultRowHeight="16" x14ac:dyDescent="0.2"/>
  <cols>
    <col min="1" max="1" width="22" customWidth="1"/>
  </cols>
  <sheetData>
    <row r="1" spans="1:136" x14ac:dyDescent="0.2">
      <c r="A1" t="s">
        <v>100</v>
      </c>
      <c r="B1" t="s">
        <v>16</v>
      </c>
      <c r="C1" t="s">
        <v>130</v>
      </c>
      <c r="D1" t="s">
        <v>131</v>
      </c>
      <c r="E1" t="s">
        <v>17</v>
      </c>
      <c r="F1" t="s">
        <v>132</v>
      </c>
      <c r="G1" t="s">
        <v>133</v>
      </c>
      <c r="H1" t="s">
        <v>18</v>
      </c>
      <c r="I1" t="s">
        <v>186</v>
      </c>
      <c r="J1" t="s">
        <v>187</v>
      </c>
      <c r="K1" t="s">
        <v>134</v>
      </c>
      <c r="L1" t="s">
        <v>135</v>
      </c>
      <c r="M1" t="s">
        <v>136</v>
      </c>
      <c r="N1" t="s">
        <v>47</v>
      </c>
      <c r="O1" t="s">
        <v>48</v>
      </c>
      <c r="P1" t="s">
        <v>63</v>
      </c>
      <c r="Q1" t="s">
        <v>64</v>
      </c>
      <c r="R1" t="s">
        <v>65</v>
      </c>
      <c r="S1" t="s">
        <v>61</v>
      </c>
      <c r="T1" t="s">
        <v>66</v>
      </c>
      <c r="U1" t="s">
        <v>49</v>
      </c>
      <c r="V1" t="s">
        <v>50</v>
      </c>
      <c r="W1" t="s">
        <v>51</v>
      </c>
      <c r="X1" t="s">
        <v>12</v>
      </c>
      <c r="Y1" t="s">
        <v>80</v>
      </c>
      <c r="Z1" t="s">
        <v>13</v>
      </c>
      <c r="AA1" t="s">
        <v>23</v>
      </c>
      <c r="AB1" t="s">
        <v>24</v>
      </c>
      <c r="AC1" t="s">
        <v>28</v>
      </c>
      <c r="AD1" t="s">
        <v>29</v>
      </c>
      <c r="AE1" t="s">
        <v>35</v>
      </c>
      <c r="AF1" t="s">
        <v>54</v>
      </c>
      <c r="AG1" t="s">
        <v>55</v>
      </c>
      <c r="AH1" t="s">
        <v>56</v>
      </c>
      <c r="AI1" t="s">
        <v>57</v>
      </c>
      <c r="AJ1" t="s">
        <v>58</v>
      </c>
      <c r="AK1" t="s">
        <v>59</v>
      </c>
      <c r="AM1" t="s">
        <v>20</v>
      </c>
      <c r="AN1" t="s">
        <v>30</v>
      </c>
      <c r="AO1" t="s">
        <v>33</v>
      </c>
      <c r="AP1" t="s">
        <v>137</v>
      </c>
      <c r="AQ1" t="s">
        <v>44</v>
      </c>
      <c r="AR1" t="s">
        <v>138</v>
      </c>
      <c r="AS1" t="s">
        <v>82</v>
      </c>
      <c r="AT1" t="s">
        <v>81</v>
      </c>
      <c r="AU1" t="s">
        <v>139</v>
      </c>
      <c r="AV1" t="s">
        <v>140</v>
      </c>
      <c r="AW1" t="s">
        <v>141</v>
      </c>
      <c r="AX1" t="s">
        <v>142</v>
      </c>
      <c r="AY1" s="1" t="s">
        <v>143</v>
      </c>
      <c r="AZ1" s="1" t="s">
        <v>144</v>
      </c>
      <c r="BA1" t="s">
        <v>145</v>
      </c>
      <c r="BB1" t="s">
        <v>146</v>
      </c>
      <c r="BC1" t="s">
        <v>52</v>
      </c>
      <c r="BD1" t="s">
        <v>53</v>
      </c>
      <c r="BE1" t="s">
        <v>14</v>
      </c>
      <c r="BF1" t="s">
        <v>147</v>
      </c>
      <c r="BG1" t="s">
        <v>148</v>
      </c>
      <c r="BH1" t="s">
        <v>79</v>
      </c>
      <c r="BI1" t="s">
        <v>149</v>
      </c>
      <c r="BJ1" t="s">
        <v>150</v>
      </c>
      <c r="BK1" t="s">
        <v>15</v>
      </c>
      <c r="BL1" t="s">
        <v>37</v>
      </c>
      <c r="BM1" t="s">
        <v>38</v>
      </c>
      <c r="BN1" t="s">
        <v>39</v>
      </c>
      <c r="BO1" t="s">
        <v>40</v>
      </c>
      <c r="BP1" t="s">
        <v>151</v>
      </c>
      <c r="BQ1" t="s">
        <v>152</v>
      </c>
      <c r="BR1" t="s">
        <v>153</v>
      </c>
      <c r="BS1" t="s">
        <v>62</v>
      </c>
      <c r="BT1" t="s">
        <v>154</v>
      </c>
      <c r="BU1" t="s">
        <v>155</v>
      </c>
      <c r="BV1" t="s">
        <v>67</v>
      </c>
      <c r="BW1" t="s">
        <v>156</v>
      </c>
      <c r="BX1" t="s">
        <v>157</v>
      </c>
      <c r="BY1" t="s">
        <v>158</v>
      </c>
      <c r="BZ1" t="s">
        <v>159</v>
      </c>
      <c r="CA1" t="s">
        <v>160</v>
      </c>
      <c r="CB1" t="s">
        <v>161</v>
      </c>
      <c r="CC1" t="s">
        <v>162</v>
      </c>
      <c r="CD1" t="s">
        <v>21</v>
      </c>
      <c r="CE1" t="s">
        <v>163</v>
      </c>
      <c r="CF1" t="s">
        <v>164</v>
      </c>
      <c r="CG1" t="s">
        <v>34</v>
      </c>
      <c r="CH1" t="s">
        <v>36</v>
      </c>
      <c r="CI1" t="s">
        <v>73</v>
      </c>
      <c r="CJ1" t="s">
        <v>165</v>
      </c>
      <c r="CK1" t="s">
        <v>166</v>
      </c>
      <c r="CL1" t="s">
        <v>70</v>
      </c>
      <c r="CM1" t="s">
        <v>167</v>
      </c>
      <c r="CN1" t="s">
        <v>168</v>
      </c>
      <c r="CO1" t="s">
        <v>20</v>
      </c>
      <c r="CP1" t="s">
        <v>169</v>
      </c>
      <c r="CQ1" t="s">
        <v>170</v>
      </c>
      <c r="CR1" t="s">
        <v>171</v>
      </c>
      <c r="CS1" t="s">
        <v>172</v>
      </c>
      <c r="CT1" t="s">
        <v>173</v>
      </c>
      <c r="CU1" t="s">
        <v>174</v>
      </c>
      <c r="CV1" t="s">
        <v>175</v>
      </c>
      <c r="CW1" t="s">
        <v>176</v>
      </c>
      <c r="CX1" t="s">
        <v>177</v>
      </c>
      <c r="CY1" t="s">
        <v>178</v>
      </c>
      <c r="CZ1" t="s">
        <v>179</v>
      </c>
      <c r="DA1" t="s">
        <v>180</v>
      </c>
      <c r="DB1" t="s">
        <v>181</v>
      </c>
      <c r="DC1" t="s">
        <v>182</v>
      </c>
      <c r="DD1" t="s">
        <v>183</v>
      </c>
      <c r="DE1" t="s">
        <v>184</v>
      </c>
      <c r="DF1" t="s">
        <v>185</v>
      </c>
      <c r="DG1" t="s">
        <v>74</v>
      </c>
      <c r="DH1" t="s">
        <v>71</v>
      </c>
      <c r="DI1" t="s">
        <v>72</v>
      </c>
      <c r="DJ1" t="s">
        <v>75</v>
      </c>
      <c r="DK1" t="s">
        <v>76</v>
      </c>
      <c r="DL1" t="s">
        <v>69</v>
      </c>
      <c r="DM1" t="s">
        <v>22</v>
      </c>
      <c r="DN1" t="s">
        <v>25</v>
      </c>
      <c r="DO1" t="s">
        <v>105</v>
      </c>
      <c r="DP1" t="s">
        <v>108</v>
      </c>
      <c r="DQ1" t="s">
        <v>109</v>
      </c>
      <c r="DR1" t="s">
        <v>124</v>
      </c>
      <c r="DS1" t="s">
        <v>125</v>
      </c>
      <c r="DT1" t="s">
        <v>126</v>
      </c>
      <c r="DU1" t="s">
        <v>127</v>
      </c>
      <c r="DV1" t="s">
        <v>211</v>
      </c>
      <c r="DW1" t="s">
        <v>212</v>
      </c>
      <c r="DX1" t="s">
        <v>213</v>
      </c>
      <c r="DY1" t="s">
        <v>214</v>
      </c>
      <c r="DZ1" t="s">
        <v>215</v>
      </c>
      <c r="EA1" t="s">
        <v>216</v>
      </c>
    </row>
    <row r="2" spans="1:136" x14ac:dyDescent="0.2">
      <c r="A2" t="s">
        <v>101</v>
      </c>
      <c r="S2" s="9"/>
      <c r="T2" s="6"/>
      <c r="U2" s="6"/>
      <c r="V2" s="4"/>
      <c r="W2" s="7"/>
      <c r="X2" s="7"/>
      <c r="Y2" s="8"/>
      <c r="Z2" s="7"/>
      <c r="AA2" s="7"/>
      <c r="AB2" s="7"/>
      <c r="AI2" s="11"/>
      <c r="AJ2" s="4"/>
      <c r="AK2" s="6"/>
      <c r="AL2" s="6"/>
      <c r="AM2" s="11"/>
      <c r="AN2" s="2"/>
      <c r="AR2" s="3"/>
      <c r="AS2" s="3"/>
      <c r="AT2" s="2"/>
      <c r="AU2" s="2"/>
      <c r="AV2" s="2"/>
      <c r="AW2" s="2"/>
      <c r="AX2" s="2"/>
      <c r="AY2" s="3"/>
      <c r="AZ2" s="3"/>
      <c r="BA2" s="2"/>
      <c r="BB2" s="2"/>
      <c r="BC2" s="3"/>
      <c r="BD2" s="3"/>
      <c r="BE2" s="3"/>
      <c r="BF2" s="3"/>
      <c r="BG2" s="3"/>
      <c r="BH2" s="3"/>
      <c r="BI2" s="3"/>
      <c r="BK2" s="7"/>
      <c r="BL2" s="12"/>
      <c r="BM2" s="3"/>
      <c r="BN2" s="3"/>
      <c r="BO2" s="12"/>
      <c r="BP2" s="12"/>
      <c r="BQ2" s="12"/>
      <c r="BR2" s="9"/>
      <c r="BS2" s="9"/>
      <c r="BT2" s="9"/>
      <c r="BU2" s="9"/>
      <c r="BV2" s="9"/>
    </row>
    <row r="3" spans="1:136" x14ac:dyDescent="0.2">
      <c r="A3" t="s">
        <v>84</v>
      </c>
      <c r="S3" s="9"/>
      <c r="T3" s="6"/>
      <c r="U3" s="6"/>
      <c r="V3" s="4"/>
      <c r="W3" s="7"/>
      <c r="X3" s="7"/>
      <c r="Y3" s="8"/>
      <c r="Z3" s="7"/>
      <c r="AA3" s="7"/>
      <c r="AB3" s="7"/>
      <c r="AI3" s="11"/>
      <c r="AJ3" s="4"/>
      <c r="AK3" s="6"/>
      <c r="AL3" s="6"/>
      <c r="AM3" s="11"/>
      <c r="AN3" s="2"/>
      <c r="AR3" s="3"/>
      <c r="AS3" s="3"/>
      <c r="AT3" s="2"/>
      <c r="AU3" s="2"/>
      <c r="AV3" s="2"/>
      <c r="AW3" s="2"/>
      <c r="AX3" s="2"/>
      <c r="AY3" s="3"/>
      <c r="AZ3" s="3"/>
      <c r="BA3" s="2"/>
      <c r="BB3" s="2"/>
      <c r="BC3" s="3"/>
      <c r="BD3" s="3"/>
      <c r="BE3" s="3"/>
      <c r="BF3" s="3"/>
      <c r="BG3" s="3"/>
      <c r="BH3" s="3"/>
      <c r="BI3" s="3"/>
      <c r="BK3" s="7"/>
      <c r="BL3" s="12"/>
      <c r="BM3" s="3"/>
      <c r="BN3" s="3"/>
      <c r="BO3" s="12"/>
      <c r="BP3" s="12"/>
      <c r="BQ3" s="12"/>
      <c r="BR3" s="9"/>
      <c r="BS3" s="9"/>
      <c r="BT3" s="9"/>
      <c r="BU3" s="9"/>
      <c r="BV3" s="9"/>
    </row>
    <row r="4" spans="1:136" x14ac:dyDescent="0.2">
      <c r="A4" t="s">
        <v>85</v>
      </c>
      <c r="S4" s="9"/>
      <c r="T4" s="6"/>
      <c r="U4" s="6"/>
      <c r="V4" s="4"/>
      <c r="W4" s="7"/>
      <c r="X4" s="7"/>
      <c r="Y4" s="8"/>
      <c r="Z4" s="7"/>
      <c r="AA4" s="7"/>
      <c r="AB4" s="7"/>
      <c r="AI4" s="11"/>
      <c r="AJ4" s="4"/>
      <c r="AK4" s="6"/>
      <c r="AL4" s="6"/>
      <c r="AM4" s="11"/>
      <c r="AN4" s="2"/>
      <c r="AR4" s="3"/>
      <c r="AS4" s="3"/>
      <c r="AT4" s="2"/>
      <c r="AU4" s="2"/>
      <c r="AV4" s="2"/>
      <c r="AW4" s="2"/>
      <c r="AX4" s="2"/>
      <c r="AY4" s="3"/>
      <c r="AZ4" s="3"/>
      <c r="BA4" s="2"/>
      <c r="BB4" s="2"/>
      <c r="BC4" s="3"/>
      <c r="BD4" s="3"/>
      <c r="BE4" s="3"/>
      <c r="BF4" s="3"/>
      <c r="BG4" s="3"/>
      <c r="BH4" s="3"/>
      <c r="BI4" s="3"/>
      <c r="BK4" s="7"/>
      <c r="BL4" s="12"/>
      <c r="BM4" s="3"/>
      <c r="BN4" s="3"/>
      <c r="BO4" s="12"/>
      <c r="BP4" s="12"/>
      <c r="BQ4" s="12"/>
      <c r="BR4" s="9"/>
      <c r="BS4" s="9"/>
      <c r="BT4" s="9"/>
      <c r="BU4" s="9"/>
      <c r="BV4" s="9"/>
    </row>
    <row r="5" spans="1:136" x14ac:dyDescent="0.2">
      <c r="A5" t="s">
        <v>86</v>
      </c>
      <c r="B5">
        <v>10.441509026249101</v>
      </c>
      <c r="C5">
        <v>10.148468901185</v>
      </c>
      <c r="D5">
        <v>10.7409578288884</v>
      </c>
      <c r="E5">
        <v>35.810371172270699</v>
      </c>
      <c r="F5">
        <v>32.153610263771299</v>
      </c>
      <c r="G5">
        <v>39.961317129797301</v>
      </c>
      <c r="H5">
        <v>0</v>
      </c>
      <c r="I5">
        <v>0</v>
      </c>
      <c r="J5">
        <v>0</v>
      </c>
      <c r="K5">
        <v>46.2518801985198</v>
      </c>
      <c r="L5">
        <v>42.560934785885301</v>
      </c>
      <c r="M5">
        <v>50.377764992196902</v>
      </c>
      <c r="N5">
        <v>43.965785380514802</v>
      </c>
      <c r="O5">
        <v>39.418673731042503</v>
      </c>
      <c r="P5">
        <v>49.167093330447202</v>
      </c>
      <c r="Q5">
        <v>0</v>
      </c>
      <c r="R5">
        <v>21.388091567027899</v>
      </c>
      <c r="S5" s="9">
        <v>111.605757146062</v>
      </c>
      <c r="T5" s="6">
        <v>101.744248801871</v>
      </c>
      <c r="U5" s="6">
        <v>121.807161208057</v>
      </c>
      <c r="V5" s="4">
        <v>1000</v>
      </c>
      <c r="W5" s="7">
        <v>6.4482946096586405E-2</v>
      </c>
      <c r="X5" s="7">
        <v>23.348039</v>
      </c>
      <c r="Y5" s="8">
        <v>47.408000000000001</v>
      </c>
      <c r="Z5" s="7">
        <v>6227.8408195989296</v>
      </c>
      <c r="AA5" s="7">
        <v>19670</v>
      </c>
      <c r="AB5" s="7">
        <v>94306</v>
      </c>
      <c r="AC5">
        <v>1.82507693639206</v>
      </c>
      <c r="AD5">
        <v>334</v>
      </c>
      <c r="AE5">
        <v>304.24299999999999</v>
      </c>
      <c r="AF5">
        <v>232</v>
      </c>
      <c r="AG5">
        <v>92.793000000000006</v>
      </c>
      <c r="AH5">
        <v>368</v>
      </c>
      <c r="AI5" s="11">
        <v>179</v>
      </c>
      <c r="AJ5" s="4">
        <v>91.016000000000005</v>
      </c>
      <c r="AK5" s="6">
        <v>31.829600593277</v>
      </c>
      <c r="AL5" s="6" t="s">
        <v>31</v>
      </c>
      <c r="AM5" s="11" t="s">
        <v>31</v>
      </c>
      <c r="AN5" s="2" t="s">
        <v>433</v>
      </c>
      <c r="AO5" t="s">
        <v>32</v>
      </c>
      <c r="AP5">
        <v>51672</v>
      </c>
      <c r="AQ5">
        <v>4.7946552844019701</v>
      </c>
      <c r="AR5" s="3">
        <v>0.45668979343236699</v>
      </c>
      <c r="AS5" s="3">
        <v>2.9448703332760499E-2</v>
      </c>
      <c r="AT5" s="2">
        <v>2.0391297990307701E-3</v>
      </c>
      <c r="AU5" s="2">
        <v>0.227910227652901</v>
      </c>
      <c r="AV5" s="2">
        <v>0.77208977234709897</v>
      </c>
      <c r="AW5" s="2">
        <v>0</v>
      </c>
      <c r="AX5" s="2">
        <v>1.67658572669196E-3</v>
      </c>
      <c r="AY5" s="3">
        <v>1.57355463971568E-3</v>
      </c>
      <c r="AZ5" s="3">
        <v>1.7818700648791401E-3</v>
      </c>
      <c r="BA5" s="2">
        <v>5.75004599661185E-3</v>
      </c>
      <c r="BB5" s="2">
        <v>4.4643515848566103E-3</v>
      </c>
      <c r="BC5" s="3">
        <v>7.2094928006633998E-3</v>
      </c>
      <c r="BD5" s="3">
        <v>0</v>
      </c>
      <c r="BE5" s="3">
        <v>0</v>
      </c>
      <c r="BF5" s="3">
        <v>0</v>
      </c>
      <c r="BG5" s="3">
        <v>7.4266317233038E-3</v>
      </c>
      <c r="BH5" s="3">
        <v>6.8339792263069103E-3</v>
      </c>
      <c r="BI5" s="3">
        <v>8.0891221293997607E-3</v>
      </c>
      <c r="BJ5">
        <v>1.7920457567707999E-2</v>
      </c>
      <c r="BK5" s="7">
        <v>-1.58345542698475E-3</v>
      </c>
      <c r="BL5" s="12">
        <v>1.63803224223244E-3</v>
      </c>
      <c r="BM5" s="3">
        <v>1.6337002140723301E-2</v>
      </c>
      <c r="BN5" s="3">
        <v>1.9558489809940401E-2</v>
      </c>
      <c r="BO5" s="12">
        <v>7.0595550936618399E-3</v>
      </c>
      <c r="BP5" s="12">
        <v>6.3294285889569299E-3</v>
      </c>
      <c r="BQ5" s="12">
        <v>7.8947254360964107E-3</v>
      </c>
      <c r="BR5" s="9">
        <v>0</v>
      </c>
      <c r="BS5" s="9">
        <v>0</v>
      </c>
      <c r="BT5" s="9">
        <v>0</v>
      </c>
      <c r="BU5" s="9">
        <v>3.4342707507423499E-3</v>
      </c>
      <c r="BV5" s="9">
        <v>2.81610201560873E-3</v>
      </c>
      <c r="BW5">
        <v>4.0524394858759798E-3</v>
      </c>
      <c r="BX5">
        <v>1.0493825844404199E-2</v>
      </c>
      <c r="BY5">
        <v>9.1455306045656604E-3</v>
      </c>
      <c r="BZ5">
        <v>1.1947164921972399E-2</v>
      </c>
      <c r="CA5">
        <v>6.4638488930174997E-3</v>
      </c>
      <c r="CB5">
        <v>5.8879664034680304E-3</v>
      </c>
      <c r="CC5">
        <v>0.81985108924521799</v>
      </c>
      <c r="CD5">
        <v>10777</v>
      </c>
      <c r="CE5">
        <v>2.1527326714299001E-2</v>
      </c>
      <c r="CF5">
        <v>4.7174885612607997E-3</v>
      </c>
      <c r="CG5">
        <v>8.6102811543101107E-3</v>
      </c>
      <c r="CH5">
        <v>79.776156552785395</v>
      </c>
      <c r="CI5">
        <v>75.229044903313095</v>
      </c>
      <c r="CJ5">
        <v>84.977464502717893</v>
      </c>
      <c r="CK5">
        <v>79.776156552785395</v>
      </c>
      <c r="CL5">
        <v>75.229044903313095</v>
      </c>
      <c r="CM5">
        <v>84.977464502717893</v>
      </c>
      <c r="CN5">
        <v>31.829600593277</v>
      </c>
      <c r="CO5">
        <v>27.686703986147801</v>
      </c>
      <c r="CP5">
        <v>35.978905877981298</v>
      </c>
      <c r="CQ5">
        <v>79.872204647189207</v>
      </c>
      <c r="CR5">
        <v>73.936034287145901</v>
      </c>
      <c r="CS5">
        <v>86.204539066586804</v>
      </c>
      <c r="CT5">
        <v>6.8383475685709501</v>
      </c>
      <c r="CU5">
        <v>6.0065346133322999</v>
      </c>
      <c r="CV5">
        <v>7.6936494417269801</v>
      </c>
      <c r="CW5">
        <v>27.2882956073076</v>
      </c>
      <c r="CX5">
        <v>23.504896880945299</v>
      </c>
      <c r="CY5">
        <v>31.317091765715698</v>
      </c>
      <c r="CZ5">
        <v>9.8391422046361807</v>
      </c>
      <c r="DA5">
        <v>7.3878092181166597</v>
      </c>
      <c r="DB5">
        <v>12.9194928229241</v>
      </c>
      <c r="DC5">
        <v>0</v>
      </c>
      <c r="DD5">
        <v>0</v>
      </c>
      <c r="DE5">
        <v>0</v>
      </c>
      <c r="DF5">
        <v>0.71480158216492595</v>
      </c>
      <c r="DG5">
        <v>0.71480158216492595</v>
      </c>
      <c r="DH5">
        <v>0.28519841783507499</v>
      </c>
      <c r="DI5">
        <v>0.58557791305457296</v>
      </c>
      <c r="DJ5">
        <v>0.39393685874675599</v>
      </c>
      <c r="DK5">
        <v>46.2518801985198</v>
      </c>
      <c r="DL5">
        <v>3.6316424039364201</v>
      </c>
      <c r="DM5">
        <v>0.57788260365583499</v>
      </c>
      <c r="DN5">
        <v>1.06611193281389E-2</v>
      </c>
      <c r="DO5">
        <v>0.9</v>
      </c>
      <c r="DP5">
        <v>17.326203208556102</v>
      </c>
      <c r="DQ5">
        <v>9.1399987427456697E-2</v>
      </c>
      <c r="DR5">
        <v>-8.8356865252720004E-2</v>
      </c>
      <c r="DS5">
        <v>0</v>
      </c>
      <c r="DT5">
        <v>0</v>
      </c>
      <c r="DU5">
        <v>2.0450788433637799E-3</v>
      </c>
      <c r="DV5">
        <v>1.9558323724808702E-3</v>
      </c>
      <c r="DW5">
        <v>2.1776522444155498E-3</v>
      </c>
      <c r="DX5">
        <v>5.9587925946185498E-3</v>
      </c>
      <c r="DY5">
        <v>6.80521140665222E-3</v>
      </c>
      <c r="DZ5">
        <v>5.1123737825848796E-3</v>
      </c>
      <c r="EA5">
        <v>35.906419266674497</v>
      </c>
      <c r="EB5">
        <v>32.219971648898998</v>
      </c>
      <c r="EC5">
        <v>40.090671349562598</v>
      </c>
      <c r="ED5">
        <v>43.965785380514802</v>
      </c>
      <c r="EE5">
        <v>43.965785380514802</v>
      </c>
      <c r="EF5">
        <v>43.965785380514802</v>
      </c>
    </row>
    <row r="6" spans="1:136" x14ac:dyDescent="0.2">
      <c r="A6" t="s">
        <v>87</v>
      </c>
      <c r="S6" s="9"/>
      <c r="T6" s="6"/>
      <c r="U6" s="6"/>
      <c r="V6" s="4"/>
      <c r="W6" s="7"/>
      <c r="X6" s="7"/>
      <c r="Y6" s="8"/>
      <c r="Z6" s="7"/>
      <c r="AA6" s="7"/>
      <c r="AB6" s="7"/>
      <c r="AI6" s="11"/>
      <c r="AJ6" s="4"/>
      <c r="AK6" s="6"/>
      <c r="AL6" s="6"/>
      <c r="AM6" s="11"/>
      <c r="AN6" s="2"/>
      <c r="AR6" s="3"/>
      <c r="AS6" s="3"/>
      <c r="AT6" s="2"/>
      <c r="AU6" s="2"/>
      <c r="AV6" s="2"/>
      <c r="AW6" s="2"/>
      <c r="AX6" s="2"/>
      <c r="AY6" s="3"/>
      <c r="AZ6" s="3"/>
      <c r="BA6" s="2"/>
      <c r="BB6" s="2"/>
      <c r="BC6" s="3"/>
      <c r="BD6" s="3"/>
      <c r="BE6" s="3"/>
      <c r="BF6" s="3"/>
      <c r="BG6" s="3"/>
      <c r="BH6" s="3"/>
      <c r="BI6" s="3"/>
      <c r="BK6" s="7"/>
      <c r="BL6" s="12"/>
      <c r="BM6" s="3"/>
      <c r="BN6" s="3"/>
      <c r="BO6" s="12"/>
      <c r="BP6" s="12"/>
      <c r="BQ6" s="12"/>
      <c r="BR6" s="9"/>
      <c r="BS6" s="9"/>
      <c r="BT6" s="9"/>
      <c r="BU6" s="9"/>
      <c r="BV6" s="9"/>
    </row>
    <row r="7" spans="1:136" x14ac:dyDescent="0.2">
      <c r="A7" t="s">
        <v>88</v>
      </c>
      <c r="S7" s="9"/>
      <c r="T7" s="6"/>
      <c r="U7" s="6"/>
      <c r="V7" s="4"/>
      <c r="W7" s="7"/>
      <c r="X7" s="7"/>
      <c r="Y7" s="8"/>
      <c r="Z7" s="7"/>
      <c r="AA7" s="7"/>
      <c r="AB7" s="7"/>
      <c r="AI7" s="11"/>
      <c r="AJ7" s="4"/>
      <c r="AK7" s="6"/>
      <c r="AL7" s="6"/>
      <c r="AM7" s="11"/>
      <c r="AN7" s="2"/>
      <c r="AR7" s="3"/>
      <c r="AS7" s="3"/>
      <c r="AT7" s="2"/>
      <c r="AU7" s="2"/>
      <c r="AV7" s="2"/>
      <c r="AW7" s="2"/>
      <c r="AX7" s="2"/>
      <c r="AY7" s="3"/>
      <c r="AZ7" s="3"/>
      <c r="BA7" s="2"/>
      <c r="BB7" s="2"/>
      <c r="BC7" s="3"/>
      <c r="BD7" s="3"/>
      <c r="BE7" s="3"/>
      <c r="BF7" s="3"/>
      <c r="BG7" s="3"/>
      <c r="BH7" s="3"/>
      <c r="BI7" s="3"/>
      <c r="BK7" s="7"/>
      <c r="BL7" s="12"/>
      <c r="BM7" s="3"/>
      <c r="BN7" s="3"/>
      <c r="BO7" s="12"/>
      <c r="BP7" s="12"/>
      <c r="BQ7" s="12"/>
      <c r="BR7" s="9"/>
      <c r="BS7" s="9"/>
      <c r="BT7" s="9"/>
      <c r="BU7" s="9"/>
      <c r="BV7" s="9"/>
    </row>
    <row r="8" spans="1:136" x14ac:dyDescent="0.2">
      <c r="A8" t="s">
        <v>89</v>
      </c>
      <c r="S8" s="9"/>
      <c r="T8" s="6"/>
      <c r="U8" s="6"/>
      <c r="V8" s="4"/>
      <c r="W8" s="7"/>
      <c r="X8" s="7"/>
      <c r="Y8" s="8"/>
      <c r="Z8" s="7"/>
      <c r="AA8" s="7"/>
      <c r="AB8" s="7"/>
      <c r="AI8" s="11"/>
      <c r="AJ8" s="4"/>
      <c r="AK8" s="6"/>
      <c r="AL8" s="6"/>
      <c r="AM8" s="11"/>
      <c r="AN8" s="2"/>
      <c r="AR8" s="3"/>
      <c r="AS8" s="3"/>
      <c r="AT8" s="2"/>
      <c r="AU8" s="2"/>
      <c r="AV8" s="2"/>
      <c r="AW8" s="2"/>
      <c r="AX8" s="2"/>
      <c r="AY8" s="3"/>
      <c r="AZ8" s="3"/>
      <c r="BA8" s="2"/>
      <c r="BB8" s="2"/>
      <c r="BC8" s="3"/>
      <c r="BD8" s="3"/>
      <c r="BE8" s="3"/>
      <c r="BF8" s="3"/>
      <c r="BG8" s="3"/>
      <c r="BH8" s="3"/>
      <c r="BI8" s="3"/>
      <c r="BK8" s="7"/>
      <c r="BL8" s="12"/>
      <c r="BM8" s="3"/>
      <c r="BN8" s="3"/>
      <c r="BO8" s="12"/>
      <c r="BP8" s="12"/>
      <c r="BQ8" s="12"/>
      <c r="BR8" s="9"/>
      <c r="BS8" s="9"/>
      <c r="BT8" s="9"/>
      <c r="BU8" s="9"/>
      <c r="BV8" s="9"/>
    </row>
    <row r="9" spans="1:136" x14ac:dyDescent="0.2">
      <c r="A9" t="s">
        <v>90</v>
      </c>
      <c r="S9" s="9"/>
      <c r="T9" s="6"/>
      <c r="U9" s="6"/>
      <c r="V9" s="4"/>
      <c r="W9" s="7"/>
      <c r="X9" s="7"/>
      <c r="Y9" s="8"/>
      <c r="Z9" s="7"/>
      <c r="AA9" s="7"/>
      <c r="AB9" s="7"/>
      <c r="AI9" s="11"/>
      <c r="AJ9" s="4"/>
      <c r="AK9" s="6"/>
      <c r="AL9" s="6"/>
      <c r="AM9" s="11"/>
      <c r="AN9" s="2"/>
      <c r="AR9" s="3"/>
      <c r="AS9" s="3"/>
      <c r="AT9" s="2"/>
      <c r="AU9" s="2"/>
      <c r="AV9" s="2"/>
      <c r="AW9" s="2"/>
      <c r="AX9" s="2"/>
      <c r="AY9" s="3"/>
      <c r="AZ9" s="3"/>
      <c r="BA9" s="2"/>
      <c r="BB9" s="2"/>
      <c r="BC9" s="3"/>
      <c r="BD9" s="3"/>
      <c r="BE9" s="3"/>
      <c r="BF9" s="3"/>
      <c r="BG9" s="3"/>
      <c r="BH9" s="3"/>
      <c r="BI9" s="3"/>
      <c r="BK9" s="7"/>
      <c r="BL9" s="12"/>
      <c r="BM9" s="3"/>
      <c r="BN9" s="3"/>
      <c r="BO9" s="12"/>
      <c r="BP9" s="12"/>
      <c r="BQ9" s="12"/>
      <c r="BR9" s="9"/>
      <c r="BS9" s="9"/>
      <c r="BT9" s="9"/>
      <c r="BU9" s="9"/>
      <c r="BV9" s="9"/>
    </row>
    <row r="10" spans="1:136" x14ac:dyDescent="0.2">
      <c r="A10" t="s">
        <v>91</v>
      </c>
      <c r="S10" s="9"/>
      <c r="T10" s="6"/>
      <c r="U10" s="6"/>
      <c r="V10" s="4"/>
      <c r="W10" s="7"/>
      <c r="X10" s="7"/>
      <c r="Y10" s="8"/>
      <c r="Z10" s="7"/>
      <c r="AA10" s="7"/>
      <c r="AB10" s="7"/>
      <c r="AI10" s="11"/>
      <c r="AJ10" s="4"/>
      <c r="AK10" s="6"/>
      <c r="AL10" s="6"/>
      <c r="AM10" s="11"/>
      <c r="AN10" s="2"/>
      <c r="AR10" s="3"/>
      <c r="AS10" s="3"/>
      <c r="AT10" s="2"/>
      <c r="AU10" s="2"/>
      <c r="AV10" s="2"/>
      <c r="AW10" s="2"/>
      <c r="AX10" s="2"/>
      <c r="AY10" s="3"/>
      <c r="AZ10" s="3"/>
      <c r="BA10" s="2"/>
      <c r="BB10" s="2"/>
      <c r="BC10" s="3"/>
      <c r="BD10" s="3"/>
      <c r="BE10" s="3"/>
      <c r="BF10" s="3"/>
      <c r="BG10" s="3"/>
      <c r="BH10" s="3"/>
      <c r="BI10" s="3"/>
      <c r="BK10" s="7"/>
      <c r="BL10" s="12"/>
      <c r="BM10" s="3"/>
      <c r="BN10" s="3"/>
      <c r="BO10" s="12"/>
      <c r="BP10" s="12"/>
      <c r="BQ10" s="12"/>
      <c r="BR10" s="9"/>
      <c r="BS10" s="9"/>
      <c r="BT10" s="9"/>
      <c r="BU10" s="9"/>
      <c r="BV10" s="9"/>
    </row>
    <row r="11" spans="1:136" x14ac:dyDescent="0.2">
      <c r="A11" t="s">
        <v>92</v>
      </c>
      <c r="S11" s="9"/>
      <c r="T11" s="6"/>
      <c r="U11" s="6"/>
      <c r="V11" s="4"/>
      <c r="W11" s="7"/>
      <c r="X11" s="7"/>
      <c r="Y11" s="8"/>
      <c r="Z11" s="7"/>
      <c r="AA11" s="7"/>
      <c r="AB11" s="7"/>
      <c r="AI11" s="11"/>
      <c r="AJ11" s="4"/>
      <c r="AK11" s="6"/>
      <c r="AL11" s="6"/>
      <c r="AM11" s="11"/>
      <c r="AN11" s="2"/>
      <c r="AR11" s="3"/>
      <c r="AS11" s="3"/>
      <c r="AT11" s="2"/>
      <c r="AU11" s="2"/>
      <c r="AV11" s="2"/>
      <c r="AW11" s="2"/>
      <c r="AX11" s="2"/>
      <c r="AY11" s="3"/>
      <c r="AZ11" s="3"/>
      <c r="BA11" s="2"/>
      <c r="BB11" s="2"/>
      <c r="BC11" s="3"/>
      <c r="BD11" s="3"/>
      <c r="BE11" s="3"/>
      <c r="BF11" s="3"/>
      <c r="BG11" s="3"/>
      <c r="BH11" s="3"/>
      <c r="BI11" s="3"/>
      <c r="BK11" s="7"/>
      <c r="BL11" s="12"/>
      <c r="BM11" s="3"/>
      <c r="BN11" s="3"/>
      <c r="BO11" s="12"/>
      <c r="BP11" s="12"/>
      <c r="BQ11" s="12"/>
      <c r="BR11" s="9"/>
      <c r="BS11" s="9"/>
      <c r="BT11" s="9"/>
      <c r="BU11" s="9"/>
      <c r="BV11" s="9"/>
    </row>
    <row r="12" spans="1:136" x14ac:dyDescent="0.2">
      <c r="A12" t="s">
        <v>93</v>
      </c>
      <c r="S12" s="9"/>
      <c r="T12" s="6"/>
      <c r="U12" s="6"/>
      <c r="V12" s="4"/>
      <c r="W12" s="7"/>
      <c r="X12" s="7"/>
      <c r="Y12" s="8"/>
      <c r="Z12" s="7"/>
      <c r="AA12" s="7"/>
      <c r="AB12" s="7"/>
      <c r="AI12" s="11"/>
      <c r="AJ12" s="4"/>
      <c r="AK12" s="6"/>
      <c r="AL12" s="6"/>
      <c r="AM12" s="11"/>
      <c r="AN12" s="2"/>
      <c r="AR12" s="3"/>
      <c r="AS12" s="3"/>
      <c r="AT12" s="2"/>
      <c r="AU12" s="2"/>
      <c r="AV12" s="2"/>
      <c r="AW12" s="2"/>
      <c r="AX12" s="2"/>
      <c r="AY12" s="3"/>
      <c r="AZ12" s="3"/>
      <c r="BA12" s="2"/>
      <c r="BB12" s="2"/>
      <c r="BC12" s="3"/>
      <c r="BD12" s="3"/>
      <c r="BE12" s="3"/>
      <c r="BF12" s="3"/>
      <c r="BG12" s="3"/>
      <c r="BH12" s="3"/>
      <c r="BI12" s="3"/>
      <c r="BK12" s="7"/>
      <c r="BL12" s="12"/>
      <c r="BM12" s="3"/>
      <c r="BN12" s="3"/>
      <c r="BO12" s="12"/>
      <c r="BP12" s="12"/>
      <c r="BQ12" s="12"/>
      <c r="BR12" s="9"/>
      <c r="BS12" s="9"/>
      <c r="BT12" s="9"/>
      <c r="BU12" s="9"/>
      <c r="BV12" s="9"/>
    </row>
    <row r="13" spans="1:136" x14ac:dyDescent="0.2">
      <c r="A13" t="s">
        <v>94</v>
      </c>
      <c r="S13" s="9"/>
      <c r="T13" s="6"/>
      <c r="U13" s="6"/>
      <c r="V13" s="4"/>
      <c r="W13" s="7"/>
      <c r="X13" s="7"/>
      <c r="Y13" s="8"/>
      <c r="Z13" s="7"/>
      <c r="AA13" s="7"/>
      <c r="AB13" s="7"/>
      <c r="AI13" s="11"/>
      <c r="AJ13" s="4"/>
      <c r="AK13" s="6"/>
      <c r="AL13" s="6"/>
      <c r="AM13" s="11"/>
      <c r="AN13" s="2"/>
      <c r="AP13" s="15"/>
      <c r="AR13" s="3"/>
      <c r="AS13" s="3"/>
      <c r="AT13" s="2"/>
      <c r="AU13" s="2"/>
      <c r="AV13" s="2"/>
      <c r="AW13" s="2"/>
      <c r="AX13" s="2"/>
      <c r="AY13" s="3"/>
      <c r="AZ13" s="3"/>
      <c r="BA13" s="2"/>
      <c r="BB13" s="2"/>
      <c r="BC13" s="3"/>
      <c r="BD13" s="3"/>
      <c r="BE13" s="3"/>
      <c r="BF13" s="3"/>
      <c r="BG13" s="3"/>
      <c r="BH13" s="3"/>
      <c r="BI13" s="3"/>
      <c r="BK13" s="7"/>
      <c r="BL13" s="12"/>
      <c r="BM13" s="3"/>
      <c r="BN13" s="3"/>
      <c r="BO13" s="12"/>
      <c r="BP13" s="12"/>
      <c r="BQ13" s="12"/>
      <c r="BR13" s="9"/>
      <c r="BS13" s="9"/>
      <c r="BT13" s="9"/>
      <c r="BU13" s="9"/>
      <c r="BV13" s="9"/>
    </row>
    <row r="14" spans="1:136" x14ac:dyDescent="0.2">
      <c r="A14" t="s">
        <v>95</v>
      </c>
      <c r="S14" s="9"/>
      <c r="T14" s="6"/>
      <c r="U14" s="6"/>
      <c r="V14" s="4"/>
      <c r="W14" s="7"/>
      <c r="X14" s="7"/>
      <c r="Y14" s="8"/>
      <c r="Z14" s="7"/>
      <c r="AA14" s="7"/>
      <c r="AB14" s="7"/>
      <c r="AI14" s="11"/>
      <c r="AJ14" s="4"/>
      <c r="AK14" s="6"/>
      <c r="AL14" s="6"/>
      <c r="AM14" s="11"/>
      <c r="AN14" s="2"/>
      <c r="AP14" s="15"/>
      <c r="AR14" s="3"/>
      <c r="AS14" s="3"/>
      <c r="AT14" s="2"/>
      <c r="AU14" s="2"/>
      <c r="AV14" s="2"/>
      <c r="AW14" s="2"/>
      <c r="AX14" s="2"/>
      <c r="AY14" s="3"/>
      <c r="AZ14" s="3"/>
      <c r="BA14" s="2"/>
      <c r="BB14" s="2"/>
      <c r="BC14" s="3"/>
      <c r="BD14" s="3"/>
      <c r="BE14" s="3"/>
      <c r="BF14" s="3"/>
      <c r="BG14" s="3"/>
      <c r="BH14" s="3"/>
      <c r="BI14" s="3"/>
      <c r="BK14" s="7"/>
      <c r="BL14" s="12"/>
      <c r="BM14" s="3"/>
      <c r="BN14" s="3"/>
      <c r="BO14" s="12"/>
      <c r="BP14" s="12"/>
      <c r="BQ14" s="12"/>
      <c r="BR14" s="9"/>
      <c r="BS14" s="9"/>
      <c r="BT14" s="9"/>
      <c r="BU14" s="9"/>
      <c r="BV14" s="9"/>
    </row>
    <row r="15" spans="1:136" x14ac:dyDescent="0.2">
      <c r="A15" t="s">
        <v>83</v>
      </c>
      <c r="S15" s="9"/>
      <c r="T15" s="6"/>
      <c r="U15" s="6"/>
      <c r="V15" s="4"/>
      <c r="W15" s="7"/>
      <c r="X15" s="7"/>
      <c r="Y15" s="8"/>
      <c r="Z15" s="7"/>
      <c r="AA15" s="7"/>
      <c r="AB15" s="7"/>
      <c r="AI15" s="11"/>
      <c r="AJ15" s="4"/>
      <c r="AK15" s="6"/>
      <c r="AL15" s="6"/>
      <c r="AM15" s="11"/>
      <c r="AN15" s="2"/>
      <c r="AP15" s="15"/>
      <c r="AR15" s="3"/>
      <c r="AS15" s="3"/>
      <c r="AT15" s="2"/>
      <c r="AU15" s="2"/>
      <c r="AV15" s="2"/>
      <c r="AW15" s="2"/>
      <c r="AX15" s="2"/>
      <c r="AY15" s="3"/>
      <c r="AZ15" s="3"/>
      <c r="BA15" s="2"/>
      <c r="BB15" s="2"/>
      <c r="BC15" s="3"/>
      <c r="BD15" s="3"/>
      <c r="BE15" s="3"/>
      <c r="BF15" s="3"/>
      <c r="BG15" s="3"/>
      <c r="BH15" s="3"/>
      <c r="BI15" s="3"/>
      <c r="BK15" s="7"/>
      <c r="BL15" s="12"/>
      <c r="BM15" s="3"/>
      <c r="BN15" s="3"/>
      <c r="BO15" s="12"/>
      <c r="BP15" s="12"/>
      <c r="BQ15" s="12"/>
      <c r="BR15" s="9"/>
      <c r="BS15" s="9"/>
      <c r="BT15" s="9"/>
      <c r="BU15" s="9"/>
      <c r="BV15" s="9"/>
    </row>
    <row r="16" spans="1:136" x14ac:dyDescent="0.2">
      <c r="A16" t="s">
        <v>96</v>
      </c>
      <c r="S16" s="9"/>
      <c r="U16" s="6"/>
      <c r="AI16" s="11"/>
      <c r="AJ16" s="4"/>
      <c r="AK16" s="6"/>
      <c r="AL16" s="6"/>
      <c r="AM16" s="11"/>
      <c r="AN16" s="2"/>
      <c r="AR16" s="3"/>
      <c r="AS16" s="3"/>
      <c r="AT16" s="2"/>
      <c r="AU16" s="2"/>
      <c r="AV16" s="2"/>
      <c r="AW16" s="2"/>
      <c r="AX16" s="2"/>
      <c r="AY16" s="3"/>
      <c r="AZ16" s="3"/>
      <c r="BA16" s="2"/>
      <c r="BB16" s="2"/>
      <c r="BC16" s="3"/>
      <c r="BD16" s="3"/>
      <c r="BE16" s="3"/>
      <c r="BF16" s="3"/>
      <c r="BG16" s="3"/>
      <c r="BH16" s="3"/>
      <c r="BI16" s="3"/>
      <c r="BK16" s="7"/>
      <c r="BL16" s="12"/>
      <c r="BM16" s="3"/>
      <c r="BN16" s="3"/>
      <c r="BO16" s="12"/>
      <c r="BP16" s="12"/>
      <c r="BQ16" s="12"/>
      <c r="BR16" s="9"/>
      <c r="BS16" s="9"/>
      <c r="BT16" s="9"/>
      <c r="BU16" s="9"/>
      <c r="BV16" s="9"/>
    </row>
    <row r="17" spans="1:74" x14ac:dyDescent="0.2">
      <c r="A17" t="s">
        <v>97</v>
      </c>
      <c r="S17" s="9"/>
      <c r="T17" s="6"/>
      <c r="U17" s="6"/>
      <c r="V17" s="4"/>
      <c r="W17" s="7"/>
      <c r="X17" s="7"/>
      <c r="Y17" s="8"/>
      <c r="Z17" s="7"/>
      <c r="AA17" s="7"/>
      <c r="AB17" s="7"/>
      <c r="AI17" s="11"/>
      <c r="AJ17" s="4"/>
      <c r="AK17" s="6"/>
      <c r="AL17" s="6"/>
      <c r="AM17" s="11"/>
      <c r="AN17" s="2"/>
      <c r="AR17" s="3"/>
      <c r="AS17" s="3"/>
      <c r="AT17" s="2"/>
      <c r="AU17" s="2"/>
      <c r="AV17" s="2"/>
      <c r="AW17" s="2"/>
      <c r="AX17" s="2"/>
      <c r="AY17" s="3"/>
      <c r="AZ17" s="3"/>
      <c r="BA17" s="2"/>
      <c r="BB17" s="2"/>
      <c r="BC17" s="3"/>
      <c r="BD17" s="3"/>
      <c r="BE17" s="3"/>
      <c r="BF17" s="3"/>
      <c r="BG17" s="3"/>
      <c r="BH17" s="3"/>
      <c r="BI17" s="3"/>
      <c r="BK17" s="7"/>
      <c r="BL17" s="12"/>
      <c r="BM17" s="3"/>
      <c r="BN17" s="3"/>
      <c r="BO17" s="12"/>
      <c r="BP17" s="12"/>
      <c r="BQ17" s="12"/>
      <c r="BR17" s="9"/>
      <c r="BS17" s="9"/>
      <c r="BT17" s="9"/>
      <c r="BU17" s="9"/>
      <c r="BV17" s="9"/>
    </row>
    <row r="18" spans="1:74" x14ac:dyDescent="0.2">
      <c r="A18" t="s">
        <v>98</v>
      </c>
      <c r="S18" s="9"/>
      <c r="U18" s="6"/>
      <c r="AI18" s="11"/>
      <c r="AJ18" s="4"/>
      <c r="AK18" s="6"/>
      <c r="AL18" s="6"/>
      <c r="AM18" s="11"/>
      <c r="AN18" s="2"/>
      <c r="AR18" s="3"/>
      <c r="AS18" s="3"/>
      <c r="AT18" s="2"/>
      <c r="AU18" s="2"/>
      <c r="AV18" s="2"/>
      <c r="AW18" s="2"/>
      <c r="AX18" s="2"/>
      <c r="AY18" s="3"/>
      <c r="AZ18" s="3"/>
      <c r="BA18" s="2"/>
      <c r="BB18" s="2"/>
      <c r="BC18" s="3"/>
      <c r="BD18" s="3"/>
      <c r="BE18" s="3"/>
      <c r="BF18" s="3"/>
      <c r="BG18" s="3"/>
      <c r="BH18" s="3"/>
      <c r="BI18" s="3"/>
      <c r="BK18" s="7"/>
      <c r="BL18" s="12"/>
      <c r="BM18" s="3"/>
      <c r="BN18" s="3"/>
      <c r="BO18" s="12"/>
      <c r="BP18" s="12"/>
      <c r="BQ18" s="12"/>
      <c r="BR18" s="9"/>
      <c r="BS18" s="9"/>
      <c r="BT18" s="9"/>
      <c r="BU18" s="9"/>
      <c r="BV18" s="9"/>
    </row>
    <row r="19" spans="1:74" x14ac:dyDescent="0.2">
      <c r="A19" t="s">
        <v>99</v>
      </c>
      <c r="S19" s="9"/>
      <c r="U19" s="6"/>
      <c r="W19" s="10"/>
      <c r="X19" s="10"/>
      <c r="AI19" s="11"/>
      <c r="AJ19" s="4"/>
      <c r="AK19" s="6"/>
      <c r="AL19" s="6"/>
      <c r="AM19" s="11"/>
      <c r="AN19" s="2"/>
      <c r="AR19" s="3"/>
      <c r="AS19" s="3"/>
      <c r="AT19" s="2"/>
      <c r="AU19" s="2"/>
      <c r="AV19" s="2"/>
      <c r="AW19" s="2"/>
      <c r="AX19" s="2"/>
      <c r="AY19" s="3"/>
      <c r="AZ19" s="3"/>
      <c r="BA19" s="2"/>
      <c r="BB19" s="2"/>
      <c r="BC19" s="3"/>
      <c r="BD19" s="3"/>
      <c r="BE19" s="3"/>
      <c r="BF19" s="3"/>
      <c r="BG19" s="3"/>
      <c r="BH19" s="3"/>
      <c r="BI19" s="3"/>
      <c r="BK19" s="7"/>
      <c r="BL19" s="12"/>
      <c r="BM19" s="3"/>
      <c r="BN19" s="3"/>
      <c r="BO19" s="12"/>
      <c r="BP19" s="12"/>
      <c r="BQ19" s="12"/>
      <c r="BR19" s="9"/>
      <c r="BS19" s="9"/>
      <c r="BT19" s="9"/>
      <c r="BU19" s="9"/>
      <c r="BV19" s="9"/>
    </row>
    <row r="20" spans="1:74" x14ac:dyDescent="0.2">
      <c r="S20" s="9"/>
      <c r="U20" s="6"/>
      <c r="AI20" s="11"/>
      <c r="AJ20" s="4"/>
      <c r="AK20" s="6"/>
      <c r="AL20" s="6"/>
      <c r="AM20" s="11"/>
      <c r="AN20" s="2"/>
      <c r="AR20" s="3"/>
      <c r="AS20" s="2"/>
      <c r="AT20" s="2"/>
      <c r="AU20" s="2"/>
      <c r="AV20" s="2"/>
      <c r="AW20" s="2"/>
      <c r="AX20" s="2"/>
      <c r="AY20" s="3"/>
      <c r="AZ20" s="3"/>
      <c r="BA20" s="2"/>
      <c r="BB20" s="2"/>
      <c r="BC20" s="3"/>
      <c r="BD20" s="3"/>
      <c r="BE20" s="3"/>
      <c r="BF20" s="3"/>
      <c r="BG20" s="3"/>
      <c r="BH20" s="3"/>
      <c r="BI20" s="3"/>
      <c r="BK20" s="7"/>
      <c r="BL20" s="12"/>
      <c r="BM20" s="3"/>
      <c r="BN20" s="3"/>
      <c r="BO20" s="12"/>
      <c r="BP20" s="12"/>
      <c r="BQ20" s="12"/>
      <c r="BR20" s="9"/>
      <c r="BS20" s="9"/>
      <c r="BT20" s="9"/>
      <c r="BU20" s="9"/>
      <c r="BV20" s="9"/>
    </row>
    <row r="21" spans="1:74" x14ac:dyDescent="0.2">
      <c r="U21" s="4"/>
      <c r="V21" s="7"/>
      <c r="AI21" s="11"/>
      <c r="AJ21" s="4"/>
      <c r="AK21" s="6"/>
      <c r="AL21" s="6"/>
      <c r="AM21" s="6"/>
      <c r="AN21" s="6"/>
      <c r="AR21" s="3"/>
      <c r="AS21" s="2"/>
      <c r="AT21" s="2"/>
      <c r="AU21" s="2"/>
      <c r="AV21" s="2"/>
      <c r="AW21" s="2"/>
      <c r="AX21" s="2"/>
      <c r="AY21" s="3"/>
      <c r="AZ21" s="3"/>
      <c r="BA21" s="2"/>
      <c r="BB21" s="2"/>
      <c r="BC21" s="3"/>
      <c r="BD21" s="3"/>
      <c r="BE21" s="3"/>
      <c r="BF21" s="3"/>
      <c r="BG21" s="3"/>
      <c r="BH21" s="3"/>
      <c r="BI21" s="3"/>
      <c r="BK21" s="7"/>
      <c r="BL21" s="3"/>
      <c r="BM21" s="3"/>
      <c r="BN21" s="3"/>
    </row>
    <row r="22" spans="1:74" x14ac:dyDescent="0.2">
      <c r="V22" s="10"/>
      <c r="W22" s="10"/>
      <c r="X22" s="10"/>
      <c r="AC22" s="10"/>
      <c r="AD22" s="10"/>
      <c r="AE22" s="10"/>
      <c r="AI22" s="11"/>
      <c r="AJ22" s="10"/>
      <c r="BK22" s="10"/>
      <c r="BN22" s="3"/>
      <c r="BO22" s="3"/>
      <c r="BP22" s="12"/>
      <c r="BQ22" s="12"/>
      <c r="BR22" s="12"/>
      <c r="BS22" s="12"/>
      <c r="BT22" s="12"/>
      <c r="BU22" s="12"/>
      <c r="BV22" s="12"/>
    </row>
    <row r="23" spans="1:74" x14ac:dyDescent="0.2">
      <c r="AI23" s="11"/>
      <c r="AJ23" s="4"/>
      <c r="BK23" s="10"/>
      <c r="BN23" s="3"/>
      <c r="BO23" s="3"/>
      <c r="BP23" s="12"/>
      <c r="BQ23" s="12"/>
      <c r="BR23" s="12"/>
      <c r="BS23" s="12"/>
      <c r="BT23" s="12"/>
      <c r="BU23" s="12"/>
      <c r="BV23" s="12"/>
    </row>
    <row r="24" spans="1:74" x14ac:dyDescent="0.2">
      <c r="V24" s="14"/>
      <c r="BP24" s="13"/>
      <c r="BQ24" s="13"/>
      <c r="BR24" s="13"/>
      <c r="BS24" s="13"/>
      <c r="BT24" s="13"/>
      <c r="BU24" s="13"/>
      <c r="BV24" s="13"/>
    </row>
    <row r="25" spans="1:74" x14ac:dyDescent="0.2">
      <c r="BP25" s="13"/>
      <c r="BQ25" s="13"/>
      <c r="BR25" s="13"/>
      <c r="BS25" s="13"/>
      <c r="BT25" s="13"/>
      <c r="BU25" s="13"/>
      <c r="BV25"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By site</vt:lpstr>
      <vt:lpstr>Tables for paper</vt:lpstr>
      <vt:lpstr>By site visit</vt:lpstr>
      <vt:lpstr>By site no strat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2022-04-13T21:50:29Z</dcterms:created>
  <dcterms:modified xsi:type="dcterms:W3CDTF">2023-08-24T23:53:43Z</dcterms:modified>
</cp:coreProperties>
</file>