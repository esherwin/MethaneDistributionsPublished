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evansherwin/PycharmProjects/MethaneDistributions/CDF_data/"/>
    </mc:Choice>
  </mc:AlternateContent>
  <xr:revisionPtr revIDLastSave="0" documentId="13_ncr:1_{9640EF46-B7EA-2B43-A9F9-991BEF58306D}" xr6:coauthVersionLast="47" xr6:coauthVersionMax="47" xr10:uidLastSave="{00000000-0000-0000-0000-000000000000}"/>
  <bookViews>
    <workbookView xWindow="3400" yWindow="820" windowWidth="29900" windowHeight="17080" activeTab="1" xr2:uid="{DA729304-F74A-A044-AD1E-035DDE35C875}"/>
  </bookViews>
  <sheets>
    <sheet name="ReadMe" sheetId="9" r:id="rId1"/>
    <sheet name="By site" sheetId="1" r:id="rId2"/>
    <sheet name="Tables for paper" sheetId="8" r:id="rId3"/>
    <sheet name="By site visit" sheetId="2" r:id="rId4"/>
    <sheet name="By site no strat" sheetId="4" r:id="rId5"/>
    <sheet name="Comparison"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20" i="1" l="1"/>
  <c r="AU20" i="1"/>
  <c r="AV19" i="1"/>
  <c r="AU19" i="1"/>
  <c r="AV18" i="1"/>
  <c r="AU18" i="1"/>
  <c r="AV17" i="1"/>
  <c r="AU17" i="1"/>
  <c r="AV16" i="1"/>
  <c r="AU16" i="1"/>
  <c r="AV15" i="1"/>
  <c r="AU15" i="1"/>
  <c r="AV14" i="1"/>
  <c r="AU14" i="1"/>
  <c r="AV13" i="1"/>
  <c r="AU13" i="1"/>
  <c r="AV12" i="1"/>
  <c r="AU12" i="1"/>
  <c r="AV11" i="1"/>
  <c r="AU11" i="1"/>
  <c r="AV10" i="1"/>
  <c r="AU10" i="1"/>
  <c r="AV9" i="1"/>
  <c r="AU9" i="1"/>
  <c r="AV8" i="1"/>
  <c r="AU8" i="1"/>
  <c r="AV7" i="1"/>
  <c r="AU7" i="1"/>
  <c r="AV6" i="1"/>
  <c r="AU6" i="1"/>
  <c r="AV5" i="1"/>
  <c r="AU5" i="1"/>
  <c r="AV4" i="1"/>
  <c r="AU4" i="1"/>
  <c r="AV3" i="1"/>
  <c r="AU3" i="1"/>
  <c r="AV2" i="1"/>
  <c r="AU2" i="1"/>
  <c r="J65" i="8"/>
  <c r="J64" i="8"/>
  <c r="J63" i="8"/>
  <c r="J62" i="8"/>
  <c r="J61" i="8"/>
  <c r="J60" i="8"/>
  <c r="J59" i="8"/>
  <c r="J58" i="8"/>
  <c r="J57" i="8"/>
  <c r="J56" i="8"/>
  <c r="J55" i="8"/>
  <c r="J54" i="8"/>
  <c r="J53" i="8"/>
  <c r="J52" i="8"/>
  <c r="J51" i="8"/>
  <c r="J50" i="8"/>
  <c r="J49" i="8"/>
  <c r="J48" i="8"/>
  <c r="J47" i="8"/>
  <c r="D86" i="8"/>
  <c r="D85" i="8"/>
  <c r="D84" i="8"/>
  <c r="D83" i="8"/>
  <c r="D82" i="8"/>
  <c r="E82" i="8" s="1"/>
  <c r="D81" i="8"/>
  <c r="E81" i="8" s="1"/>
  <c r="D79" i="8"/>
  <c r="D78" i="8"/>
  <c r="D77" i="8"/>
  <c r="D76" i="8"/>
  <c r="D75" i="8"/>
  <c r="E75" i="8" s="1"/>
  <c r="D74" i="8"/>
  <c r="D73" i="8"/>
  <c r="D72" i="8"/>
  <c r="E72" i="8" s="1"/>
  <c r="D71" i="8"/>
  <c r="E71" i="8" s="1"/>
  <c r="D70" i="8"/>
  <c r="D69" i="8"/>
  <c r="D68" i="8"/>
  <c r="E68" i="8" s="1"/>
  <c r="D80" i="8"/>
  <c r="E80" i="8" s="1"/>
  <c r="E76" i="8"/>
  <c r="E74" i="8"/>
  <c r="C86" i="8"/>
  <c r="C85" i="8"/>
  <c r="C84" i="8"/>
  <c r="C83" i="8"/>
  <c r="C82" i="8"/>
  <c r="C81" i="8"/>
  <c r="C80" i="8"/>
  <c r="C79" i="8"/>
  <c r="C78" i="8"/>
  <c r="C77" i="8"/>
  <c r="C76" i="8"/>
  <c r="C75" i="8"/>
  <c r="C74" i="8"/>
  <c r="C73" i="8"/>
  <c r="C72" i="8"/>
  <c r="C71" i="8"/>
  <c r="C70" i="8"/>
  <c r="C69" i="8"/>
  <c r="C68" i="8"/>
  <c r="E79" i="8"/>
  <c r="E85" i="8"/>
  <c r="E73" i="8"/>
  <c r="E86" i="8"/>
  <c r="E84" i="8"/>
  <c r="E83" i="8"/>
  <c r="E78" i="8"/>
  <c r="E77" i="8"/>
  <c r="E70" i="8"/>
  <c r="E69" i="8"/>
  <c r="F68" i="8" l="1"/>
  <c r="Y33" i="1" l="1"/>
  <c r="B86" i="8"/>
  <c r="B85" i="8"/>
  <c r="B84" i="8"/>
  <c r="B83" i="8"/>
  <c r="B82" i="8"/>
  <c r="B81" i="8"/>
  <c r="B80" i="8"/>
  <c r="B79" i="8"/>
  <c r="B78" i="8"/>
  <c r="B77" i="8"/>
  <c r="B76" i="8"/>
  <c r="B75" i="8"/>
  <c r="B74" i="8"/>
  <c r="B73" i="8"/>
  <c r="B72" i="8"/>
  <c r="B71" i="8"/>
  <c r="B70" i="8"/>
  <c r="B69" i="8"/>
  <c r="B68" i="8"/>
  <c r="B87" i="8" l="1"/>
  <c r="Z69" i="8"/>
  <c r="AB69" i="8"/>
  <c r="AA69" i="8"/>
  <c r="AA59" i="8"/>
  <c r="AB66" i="8"/>
  <c r="AA65" i="8"/>
  <c r="AB65" i="8"/>
  <c r="AB64" i="8"/>
  <c r="AB63" i="8"/>
  <c r="AB62" i="8"/>
  <c r="AB61" i="8"/>
  <c r="AB60" i="8"/>
  <c r="AB59" i="8"/>
  <c r="AB58" i="8"/>
  <c r="AB57" i="8"/>
  <c r="AB56" i="8"/>
  <c r="AB55" i="8"/>
  <c r="AB54" i="8"/>
  <c r="AB53" i="8"/>
  <c r="AB52" i="8"/>
  <c r="AB51" i="8"/>
  <c r="AB50" i="8"/>
  <c r="AB49" i="8"/>
  <c r="AB48" i="8"/>
  <c r="AB47" i="8"/>
  <c r="AA47" i="8"/>
  <c r="AA64" i="8"/>
  <c r="AA63" i="8"/>
  <c r="AA62" i="8"/>
  <c r="AA61" i="8"/>
  <c r="AA60" i="8"/>
  <c r="AA58" i="8"/>
  <c r="AA57" i="8"/>
  <c r="AA56" i="8"/>
  <c r="AA55" i="8"/>
  <c r="AA54" i="8"/>
  <c r="AA53" i="8"/>
  <c r="AA52" i="8"/>
  <c r="AA51" i="8"/>
  <c r="AA50" i="8"/>
  <c r="AA49" i="8"/>
  <c r="AA48" i="8"/>
  <c r="T65" i="8"/>
  <c r="T64" i="8"/>
  <c r="T63" i="8"/>
  <c r="T62" i="8"/>
  <c r="T61" i="8"/>
  <c r="T60" i="8"/>
  <c r="T59" i="8"/>
  <c r="T58" i="8"/>
  <c r="T57" i="8"/>
  <c r="T56" i="8"/>
  <c r="T55" i="8"/>
  <c r="T54" i="8"/>
  <c r="T53" i="8"/>
  <c r="T52" i="8"/>
  <c r="T51" i="8"/>
  <c r="T50" i="8"/>
  <c r="T49" i="8"/>
  <c r="T48" i="8"/>
  <c r="T47" i="8"/>
  <c r="U65" i="8"/>
  <c r="U64" i="8"/>
  <c r="U63" i="8"/>
  <c r="U62" i="8"/>
  <c r="U61" i="8"/>
  <c r="U60" i="8"/>
  <c r="U59" i="8"/>
  <c r="U58" i="8"/>
  <c r="U57" i="8"/>
  <c r="U56" i="8"/>
  <c r="U55" i="8"/>
  <c r="U54" i="8"/>
  <c r="U53" i="8"/>
  <c r="U52" i="8"/>
  <c r="U51" i="8"/>
  <c r="U50" i="8"/>
  <c r="U49" i="8"/>
  <c r="U48" i="8"/>
  <c r="U47" i="8"/>
  <c r="R23" i="1"/>
  <c r="Q23" i="1"/>
  <c r="P23" i="1"/>
  <c r="O23" i="1"/>
  <c r="N23" i="1"/>
  <c r="M23" i="1"/>
  <c r="L23" i="1"/>
  <c r="K23" i="1"/>
  <c r="EF23" i="1"/>
  <c r="EE23" i="1"/>
  <c r="ED23" i="1"/>
  <c r="EC23" i="1"/>
  <c r="EB23" i="1"/>
  <c r="EA23" i="1"/>
  <c r="EA24" i="1" s="1"/>
  <c r="K66" i="8" s="1"/>
  <c r="L65" i="8"/>
  <c r="L64" i="8"/>
  <c r="L63" i="8"/>
  <c r="L62" i="8"/>
  <c r="L61" i="8"/>
  <c r="L60" i="8"/>
  <c r="L59" i="8"/>
  <c r="L58" i="8"/>
  <c r="L57" i="8"/>
  <c r="L56" i="8"/>
  <c r="L55" i="8"/>
  <c r="L54" i="8"/>
  <c r="L53" i="8"/>
  <c r="L52" i="8"/>
  <c r="L51" i="8"/>
  <c r="L50" i="8"/>
  <c r="L49" i="8"/>
  <c r="L48" i="8"/>
  <c r="L47" i="8"/>
  <c r="K65" i="8"/>
  <c r="K64" i="8"/>
  <c r="K63" i="8"/>
  <c r="K62" i="8"/>
  <c r="K61" i="8"/>
  <c r="K60" i="8"/>
  <c r="K59" i="8"/>
  <c r="K58" i="8"/>
  <c r="K57" i="8"/>
  <c r="K56" i="8"/>
  <c r="K55" i="8"/>
  <c r="K54" i="8"/>
  <c r="K53" i="8"/>
  <c r="K52" i="8"/>
  <c r="K51" i="8"/>
  <c r="K50" i="8"/>
  <c r="K49" i="8"/>
  <c r="K48" i="8"/>
  <c r="K47" i="8"/>
  <c r="B65" i="8"/>
  <c r="G65" i="8"/>
  <c r="G64" i="8"/>
  <c r="G63" i="8"/>
  <c r="G62" i="8"/>
  <c r="G61" i="8"/>
  <c r="G60" i="8"/>
  <c r="G59" i="8"/>
  <c r="G58" i="8"/>
  <c r="G57" i="8"/>
  <c r="G56" i="8"/>
  <c r="G55" i="8"/>
  <c r="G54" i="8"/>
  <c r="G53" i="8"/>
  <c r="G52" i="8"/>
  <c r="G51" i="8"/>
  <c r="G50" i="8"/>
  <c r="G49" i="8"/>
  <c r="G48" i="8"/>
  <c r="G47" i="8"/>
  <c r="F65" i="8"/>
  <c r="F64" i="8"/>
  <c r="F63" i="8"/>
  <c r="F62" i="8"/>
  <c r="F61" i="8"/>
  <c r="F60" i="8"/>
  <c r="F59" i="8"/>
  <c r="F58" i="8"/>
  <c r="F57" i="8"/>
  <c r="F56" i="8"/>
  <c r="F55" i="8"/>
  <c r="F54" i="8"/>
  <c r="F53" i="8"/>
  <c r="F52" i="8"/>
  <c r="F51" i="8"/>
  <c r="F50" i="8"/>
  <c r="F49" i="8"/>
  <c r="F48" i="8"/>
  <c r="F47" i="8"/>
  <c r="E65" i="8"/>
  <c r="E64" i="8"/>
  <c r="E63" i="8"/>
  <c r="E62" i="8"/>
  <c r="E61" i="8"/>
  <c r="E60" i="8"/>
  <c r="E59" i="8"/>
  <c r="E58" i="8"/>
  <c r="E57" i="8"/>
  <c r="E56" i="8"/>
  <c r="E55" i="8"/>
  <c r="E54" i="8"/>
  <c r="E53" i="8"/>
  <c r="E52" i="8"/>
  <c r="E51" i="8"/>
  <c r="E50" i="8"/>
  <c r="E49" i="8"/>
  <c r="E48" i="8"/>
  <c r="E47" i="8"/>
  <c r="D65" i="8"/>
  <c r="D64" i="8"/>
  <c r="D63" i="8"/>
  <c r="D62" i="8"/>
  <c r="D61" i="8"/>
  <c r="D60" i="8"/>
  <c r="D59" i="8"/>
  <c r="D58" i="8"/>
  <c r="D57" i="8"/>
  <c r="D56" i="8"/>
  <c r="D55" i="8"/>
  <c r="D54" i="8"/>
  <c r="D53" i="8"/>
  <c r="D52" i="8"/>
  <c r="D51" i="8"/>
  <c r="D50" i="8"/>
  <c r="D49" i="8"/>
  <c r="D48" i="8"/>
  <c r="D47" i="8"/>
  <c r="C65" i="8"/>
  <c r="C64" i="8"/>
  <c r="C63" i="8"/>
  <c r="C62" i="8"/>
  <c r="C61" i="8"/>
  <c r="C60" i="8"/>
  <c r="C59" i="8"/>
  <c r="C58" i="8"/>
  <c r="C57" i="8"/>
  <c r="C56" i="8"/>
  <c r="C55" i="8"/>
  <c r="C54" i="8"/>
  <c r="C53" i="8"/>
  <c r="C52" i="8"/>
  <c r="C51" i="8"/>
  <c r="C50" i="8"/>
  <c r="C49" i="8"/>
  <c r="C48" i="8"/>
  <c r="C47" i="8"/>
  <c r="B64" i="8"/>
  <c r="B63" i="8"/>
  <c r="B62" i="8"/>
  <c r="B61" i="8"/>
  <c r="B60" i="8"/>
  <c r="B59" i="8"/>
  <c r="B58" i="8"/>
  <c r="B57" i="8"/>
  <c r="B56" i="8"/>
  <c r="B55" i="8"/>
  <c r="B54" i="8"/>
  <c r="B53" i="8"/>
  <c r="B52" i="8"/>
  <c r="B51" i="8"/>
  <c r="B50" i="8"/>
  <c r="B49" i="8"/>
  <c r="B48" i="8"/>
  <c r="B47" i="8"/>
  <c r="AX21" i="1"/>
  <c r="Z25" i="1"/>
  <c r="U25" i="1"/>
  <c r="T25" i="1"/>
  <c r="S25" i="1"/>
  <c r="Q46" i="8" a="1"/>
  <c r="Q46" i="8" s="1"/>
  <c r="P46" i="8" a="1"/>
  <c r="P46" i="8" s="1"/>
  <c r="V24" i="8" a="1"/>
  <c r="V24" i="8" s="1"/>
  <c r="U24" i="8" a="1"/>
  <c r="U24" i="8" s="1"/>
  <c r="R42" i="8"/>
  <c r="Q42" i="8"/>
  <c r="P42" i="8"/>
  <c r="O42" i="8"/>
  <c r="R41" i="8"/>
  <c r="Q41" i="8"/>
  <c r="P41" i="8"/>
  <c r="O41" i="8"/>
  <c r="R40" i="8"/>
  <c r="Q40" i="8"/>
  <c r="P40" i="8"/>
  <c r="O40" i="8"/>
  <c r="R39" i="8"/>
  <c r="Q39" i="8"/>
  <c r="P39" i="8"/>
  <c r="O39" i="8"/>
  <c r="R38" i="8"/>
  <c r="Q38" i="8"/>
  <c r="P38" i="8"/>
  <c r="O38" i="8"/>
  <c r="R37" i="8"/>
  <c r="Q37" i="8"/>
  <c r="P37" i="8"/>
  <c r="O37" i="8"/>
  <c r="R36" i="8"/>
  <c r="Q36" i="8"/>
  <c r="P36" i="8"/>
  <c r="O36" i="8"/>
  <c r="R35" i="8"/>
  <c r="Q35" i="8"/>
  <c r="P35" i="8"/>
  <c r="O35" i="8"/>
  <c r="R34" i="8"/>
  <c r="Q34" i="8"/>
  <c r="P34" i="8"/>
  <c r="O34" i="8"/>
  <c r="R33" i="8"/>
  <c r="Q33" i="8"/>
  <c r="P33" i="8"/>
  <c r="O33" i="8"/>
  <c r="R32" i="8"/>
  <c r="Q32" i="8"/>
  <c r="P32" i="8"/>
  <c r="O32" i="8"/>
  <c r="R31" i="8"/>
  <c r="Q31" i="8"/>
  <c r="P31" i="8"/>
  <c r="O31" i="8"/>
  <c r="R30" i="8"/>
  <c r="Q30" i="8"/>
  <c r="P30" i="8"/>
  <c r="O30" i="8"/>
  <c r="R29" i="8"/>
  <c r="Q29" i="8"/>
  <c r="P29" i="8"/>
  <c r="O29" i="8"/>
  <c r="R28" i="8"/>
  <c r="Q28" i="8"/>
  <c r="P28" i="8"/>
  <c r="O28" i="8"/>
  <c r="R27" i="8"/>
  <c r="Q27" i="8"/>
  <c r="P27" i="8"/>
  <c r="O27" i="8"/>
  <c r="R26" i="8"/>
  <c r="Q26" i="8"/>
  <c r="P26" i="8"/>
  <c r="O26" i="8"/>
  <c r="R25" i="8"/>
  <c r="Q25" i="8"/>
  <c r="P25" i="8"/>
  <c r="O25" i="8"/>
  <c r="R24" i="8"/>
  <c r="O24" i="8"/>
  <c r="Q24" i="8"/>
  <c r="P24" i="8"/>
  <c r="K42" i="8"/>
  <c r="J42" i="8"/>
  <c r="I42" i="8"/>
  <c r="H42" i="8"/>
  <c r="K41" i="8"/>
  <c r="J41" i="8"/>
  <c r="I41" i="8"/>
  <c r="H41" i="8"/>
  <c r="K40" i="8"/>
  <c r="J40" i="8"/>
  <c r="I40" i="8"/>
  <c r="H40" i="8"/>
  <c r="K39" i="8"/>
  <c r="J39" i="8"/>
  <c r="I39" i="8"/>
  <c r="H39" i="8"/>
  <c r="K38" i="8"/>
  <c r="J38" i="8"/>
  <c r="I38" i="8"/>
  <c r="H38" i="8"/>
  <c r="K37" i="8"/>
  <c r="J37" i="8"/>
  <c r="I37" i="8"/>
  <c r="H37" i="8"/>
  <c r="K36" i="8"/>
  <c r="J36" i="8"/>
  <c r="I36" i="8"/>
  <c r="H36" i="8"/>
  <c r="K35" i="8"/>
  <c r="J35" i="8"/>
  <c r="I35" i="8"/>
  <c r="H35" i="8"/>
  <c r="K34" i="8"/>
  <c r="J34" i="8"/>
  <c r="I34" i="8"/>
  <c r="H34" i="8"/>
  <c r="K33" i="8"/>
  <c r="J33" i="8"/>
  <c r="I33" i="8"/>
  <c r="H33" i="8"/>
  <c r="K32" i="8"/>
  <c r="J32" i="8"/>
  <c r="I32" i="8"/>
  <c r="H32" i="8"/>
  <c r="K31" i="8"/>
  <c r="J31" i="8"/>
  <c r="I31" i="8"/>
  <c r="H31" i="8"/>
  <c r="K30" i="8"/>
  <c r="J30" i="8"/>
  <c r="I30" i="8"/>
  <c r="H30" i="8"/>
  <c r="K29" i="8"/>
  <c r="J29" i="8"/>
  <c r="I29" i="8"/>
  <c r="H29" i="8"/>
  <c r="K28" i="8"/>
  <c r="J28" i="8"/>
  <c r="I28" i="8"/>
  <c r="H28" i="8"/>
  <c r="K27" i="8"/>
  <c r="J27" i="8"/>
  <c r="I27" i="8"/>
  <c r="H27" i="8"/>
  <c r="K26" i="8"/>
  <c r="J26" i="8"/>
  <c r="I26" i="8"/>
  <c r="H26" i="8"/>
  <c r="K25" i="8"/>
  <c r="J25" i="8"/>
  <c r="I25" i="8"/>
  <c r="H25" i="8"/>
  <c r="K24" i="8"/>
  <c r="J24" i="8"/>
  <c r="I24" i="8"/>
  <c r="H24" i="8"/>
  <c r="D42" i="8"/>
  <c r="D41" i="8"/>
  <c r="D40" i="8"/>
  <c r="D39" i="8"/>
  <c r="D38" i="8"/>
  <c r="D37" i="8"/>
  <c r="D36" i="8"/>
  <c r="D35" i="8"/>
  <c r="D34" i="8"/>
  <c r="D33" i="8"/>
  <c r="D32" i="8"/>
  <c r="D31" i="8"/>
  <c r="D30" i="8"/>
  <c r="D29" i="8"/>
  <c r="D28" i="8"/>
  <c r="D27" i="8"/>
  <c r="D26" i="8"/>
  <c r="D25" i="8"/>
  <c r="D24" i="8"/>
  <c r="C23" i="8" a="1"/>
  <c r="C23" i="8" s="1"/>
  <c r="B42" i="8"/>
  <c r="B41" i="8"/>
  <c r="B40" i="8"/>
  <c r="B39" i="8"/>
  <c r="B38" i="8"/>
  <c r="B37" i="8"/>
  <c r="B36" i="8"/>
  <c r="B35" i="8"/>
  <c r="B34" i="8"/>
  <c r="B33" i="8"/>
  <c r="B32" i="8"/>
  <c r="B31" i="8"/>
  <c r="B30" i="8"/>
  <c r="B29" i="8"/>
  <c r="B28" i="8"/>
  <c r="B27" i="8"/>
  <c r="B26" i="8"/>
  <c r="B25" i="8"/>
  <c r="B24" i="8"/>
  <c r="N2" i="8" a="1"/>
  <c r="N2" i="8" s="1"/>
  <c r="O2" i="8" a="1"/>
  <c r="O2" i="8" s="1"/>
  <c r="I3" i="8"/>
  <c r="K3" i="8" s="1"/>
  <c r="I4" i="8"/>
  <c r="K4" i="8" s="1"/>
  <c r="I5" i="8"/>
  <c r="K5" i="8" s="1"/>
  <c r="I6" i="8"/>
  <c r="K6" i="8" s="1"/>
  <c r="I7" i="8"/>
  <c r="K7" i="8" s="1"/>
  <c r="I8" i="8"/>
  <c r="K8" i="8" s="1"/>
  <c r="I9" i="8"/>
  <c r="K9" i="8" s="1"/>
  <c r="I10" i="8"/>
  <c r="K10" i="8" s="1"/>
  <c r="I11" i="8"/>
  <c r="K11" i="8" s="1"/>
  <c r="I12" i="8"/>
  <c r="K12" i="8" s="1"/>
  <c r="I13" i="8"/>
  <c r="K13" i="8" s="1"/>
  <c r="I14" i="8"/>
  <c r="K14" i="8" s="1"/>
  <c r="I15" i="8"/>
  <c r="K15" i="8" s="1"/>
  <c r="I16" i="8"/>
  <c r="K16" i="8" s="1"/>
  <c r="S2" i="8" a="1"/>
  <c r="S2" i="8" s="1"/>
  <c r="R2" i="8" a="1"/>
  <c r="R2" i="8" s="1"/>
  <c r="Q2" i="8" a="1"/>
  <c r="Q2" i="8" s="1"/>
  <c r="P2" i="8" a="1"/>
  <c r="P2" i="8" s="1"/>
  <c r="I21" i="8"/>
  <c r="I20" i="8"/>
  <c r="I19" i="8"/>
  <c r="I18" i="8"/>
  <c r="I17" i="8"/>
  <c r="K17" i="8" s="1"/>
  <c r="E2" i="8" a="1"/>
  <c r="E2" i="8" s="1"/>
  <c r="D2" i="8" a="1"/>
  <c r="D2" i="8" s="1"/>
  <c r="C2" i="8" a="1"/>
  <c r="C2" i="8" s="1"/>
  <c r="B2" i="8" a="1"/>
  <c r="B2" i="8" s="1"/>
  <c r="CH23" i="1"/>
  <c r="BR24" i="1"/>
  <c r="AQ24" i="1"/>
  <c r="AG24" i="1"/>
  <c r="AB24" i="1"/>
  <c r="AA24" i="1"/>
  <c r="Z24" i="1"/>
  <c r="U24" i="1"/>
  <c r="T24" i="1"/>
  <c r="S24" i="1"/>
  <c r="BV23" i="1"/>
  <c r="BR23" i="1"/>
  <c r="AQ23" i="1"/>
  <c r="AG23" i="1"/>
  <c r="AB23" i="1"/>
  <c r="AA23" i="1"/>
  <c r="Z23" i="1"/>
  <c r="B88" i="8" s="1"/>
  <c r="U23" i="1"/>
  <c r="T23" i="1"/>
  <c r="S23" i="1"/>
  <c r="S29" i="1" l="1"/>
  <c r="S31" i="1" s="1"/>
  <c r="B89" i="8"/>
  <c r="AA66" i="8"/>
  <c r="N24" i="1"/>
  <c r="ED24" i="1" s="1"/>
  <c r="L66" i="8" s="1"/>
  <c r="B44" i="8"/>
  <c r="CH24" i="1"/>
  <c r="J66" i="8" s="1"/>
  <c r="W24" i="8"/>
  <c r="W26" i="8"/>
  <c r="W27" i="8"/>
  <c r="W28" i="8"/>
  <c r="W29" i="8"/>
  <c r="W30" i="8"/>
  <c r="W35" i="8"/>
  <c r="W36" i="8"/>
  <c r="W37" i="8"/>
  <c r="W38" i="8"/>
  <c r="W31" i="8"/>
  <c r="W39" i="8"/>
  <c r="W32" i="8"/>
  <c r="W40" i="8"/>
  <c r="W25" i="8"/>
  <c r="W33" i="8"/>
  <c r="W41" i="8"/>
  <c r="W34" i="8"/>
  <c r="W42" i="8"/>
  <c r="CP26" i="1" l="1"/>
  <c r="S36" i="1"/>
  <c r="BJ21" i="1"/>
  <c r="U29" i="1"/>
  <c r="U31" i="1" s="1"/>
  <c r="T29" i="1"/>
  <c r="T31" i="1" s="1"/>
  <c r="BR29" i="1"/>
  <c r="BR28" i="1"/>
  <c r="BR27" i="1"/>
  <c r="AA29" i="1"/>
  <c r="AA28" i="1"/>
  <c r="AA27" i="1"/>
  <c r="AB29" i="1"/>
  <c r="AB28" i="1"/>
  <c r="AB27" i="1"/>
  <c r="AQ29" i="1"/>
  <c r="AQ28" i="1"/>
  <c r="AQ27" i="1"/>
  <c r="AI29" i="1"/>
  <c r="AH29" i="1"/>
  <c r="AG29" i="1"/>
  <c r="AF29" i="1"/>
  <c r="AE29" i="1"/>
  <c r="AD29" i="1"/>
  <c r="AI28" i="1"/>
  <c r="AH28" i="1"/>
  <c r="AG28" i="1"/>
  <c r="AF28" i="1"/>
  <c r="AE28" i="1"/>
  <c r="AI27" i="1"/>
  <c r="AH27" i="1"/>
  <c r="AG27" i="1"/>
  <c r="AF27" i="1"/>
  <c r="AE27" i="1"/>
  <c r="AD27" i="1"/>
  <c r="AD28" i="1"/>
  <c r="Y32" i="1"/>
  <c r="AC23" i="2"/>
  <c r="AC22" i="2"/>
  <c r="X22" i="2"/>
  <c r="W22" i="2"/>
  <c r="V22" i="2"/>
  <c r="V24" i="2" s="1"/>
  <c r="BW21" i="1" l="1"/>
  <c r="BV21" i="1"/>
  <c r="BM21" i="1"/>
  <c r="BI21" i="1"/>
  <c r="AZ21" i="1" s="1"/>
  <c r="BH21" i="1"/>
  <c r="AY21" i="1" s="1"/>
  <c r="BN21" i="1"/>
  <c r="AR29" i="1"/>
  <c r="S34" i="1"/>
  <c r="S35" i="1" s="1"/>
  <c r="S30" i="1"/>
  <c r="U30" i="1"/>
  <c r="U34" i="1"/>
  <c r="U35" i="1" s="1"/>
  <c r="T30" i="1"/>
  <c r="T34" i="1"/>
  <c r="T35" i="1" s="1"/>
  <c r="BE23" i="1"/>
  <c r="B90" i="8" s="1"/>
  <c r="BF23" i="1"/>
  <c r="BG23" i="1"/>
  <c r="AB30" i="1"/>
  <c r="BE25" i="1"/>
  <c r="BF25" i="1"/>
  <c r="BR30" i="1"/>
  <c r="AR27" i="1"/>
  <c r="AR24" i="1"/>
  <c r="AR28" i="1"/>
  <c r="AA30" i="1"/>
  <c r="BG25" i="1"/>
  <c r="AQ30" i="1"/>
  <c r="BG24" i="1"/>
  <c r="BE24" i="1"/>
  <c r="BF24" i="1"/>
  <c r="AR23" i="1"/>
  <c r="BU23" i="1"/>
  <c r="Z22" i="1"/>
  <c r="D44" i="8" l="1"/>
  <c r="AR30" i="1"/>
  <c r="BU24" i="1" l="1"/>
  <c r="B10" i="3"/>
  <c r="G7" i="3" l="1"/>
  <c r="G8" i="3"/>
  <c r="B15" i="3"/>
  <c r="B14" i="3"/>
  <c r="B13" i="3"/>
  <c r="B12" i="3"/>
  <c r="B11" i="3"/>
  <c r="B9" i="3"/>
  <c r="B8" i="3"/>
  <c r="B7" i="3"/>
  <c r="B6" i="3"/>
  <c r="B5" i="3"/>
  <c r="B4" i="3"/>
  <c r="B3" i="3"/>
  <c r="B2" i="3"/>
  <c r="G4" i="3" l="1"/>
  <c r="G14" i="3"/>
  <c r="G12" i="3"/>
  <c r="G13" i="3"/>
  <c r="G11" i="3"/>
  <c r="G9" i="3"/>
  <c r="G15" i="3"/>
  <c r="G10" i="3"/>
  <c r="G5" i="3"/>
  <c r="G6" i="3"/>
  <c r="C15" i="3"/>
  <c r="D15" i="3" s="1"/>
  <c r="C12" i="3"/>
  <c r="D12" i="3" s="1"/>
  <c r="C10" i="3"/>
  <c r="D10" i="3" s="1"/>
  <c r="C11" i="3"/>
  <c r="D11" i="3" s="1"/>
  <c r="C9" i="3"/>
  <c r="D9" i="3" s="1"/>
  <c r="C4" i="3"/>
  <c r="D4" i="3" s="1"/>
  <c r="C7" i="3"/>
  <c r="D7" i="3" s="1"/>
  <c r="C14" i="3"/>
  <c r="D14" i="3" s="1"/>
  <c r="C13" i="3"/>
  <c r="D13" i="3" s="1"/>
  <c r="C8" i="3"/>
  <c r="D8" i="3" s="1"/>
  <c r="C5" i="3"/>
  <c r="D5" i="3" s="1"/>
  <c r="C6" i="3"/>
  <c r="D6" i="3" s="1"/>
  <c r="C2" i="3" l="1"/>
  <c r="D2" i="3" s="1"/>
  <c r="G2" i="3"/>
  <c r="G3" i="3"/>
  <c r="C3" i="3"/>
  <c r="D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<sst xmlns="http://schemas.openxmlformats.org/spreadsheetml/2006/main" count="1095" uniqueCount="441">
  <si>
    <t>Basin/Campaign</t>
  </si>
  <si>
    <t>Kairos Permian</t>
  </si>
  <si>
    <t>Permian/2019</t>
  </si>
  <si>
    <t>Permian/Summer 2021</t>
  </si>
  <si>
    <t>Permian/Fall 2021</t>
  </si>
  <si>
    <t>San Joaquin/2020</t>
  </si>
  <si>
    <t>San Joaquin/COVID 2020</t>
  </si>
  <si>
    <t>San Joaquin/Fall 2021</t>
  </si>
  <si>
    <t>San Joaquin/2016-2017</t>
  </si>
  <si>
    <t>DJ/Fall 2021</t>
  </si>
  <si>
    <t>DJ/Summer 2021</t>
  </si>
  <si>
    <t>Appalachia/2021</t>
  </si>
  <si>
    <t>Uinta/2020</t>
  </si>
  <si>
    <t>Kairos Barnett</t>
  </si>
  <si>
    <t>N</t>
  </si>
  <si>
    <t>Min detected emission</t>
  </si>
  <si>
    <t>Methane fractional loss partial</t>
  </si>
  <si>
    <t>Methane fractional loss total</t>
  </si>
  <si>
    <t>Simulation (t/h)</t>
  </si>
  <si>
    <t>Aerial (t/h)</t>
  </si>
  <si>
    <t>Partial (t/h)</t>
  </si>
  <si>
    <t>Permian/2020</t>
  </si>
  <si>
    <t>Total sim emissions</t>
  </si>
  <si>
    <t>Fraction sim retained</t>
  </si>
  <si>
    <t>Total/Sim</t>
  </si>
  <si>
    <t>Transition point</t>
  </si>
  <si>
    <t>Total covered production (t(CH4)/hr)</t>
  </si>
  <si>
    <t>Production/site covered</t>
  </si>
  <si>
    <t>Production per site visit/Production per site</t>
  </si>
  <si>
    <t>FracLoss per site/FracLoss per site visit</t>
  </si>
  <si>
    <t>Production ratio/FracLoss ratio</t>
  </si>
  <si>
    <t>San Joaquin/2016</t>
  </si>
  <si>
    <t>San Joaquin/2017</t>
  </si>
  <si>
    <t>Wells covered</t>
  </si>
  <si>
    <t>Well visits</t>
  </si>
  <si>
    <t>Stratify by covered prod</t>
  </si>
  <si>
    <t>No</t>
  </si>
  <si>
    <t>Yes</t>
  </si>
  <si>
    <t>Include repeats</t>
  </si>
  <si>
    <t>Avg % wells emitting</t>
  </si>
  <si>
    <t>Wells per site</t>
  </si>
  <si>
    <t>Avg % sites emitting</t>
  </si>
  <si>
    <t>FracLossP2.5</t>
  </si>
  <si>
    <t>FracLossP97.5</t>
  </si>
  <si>
    <t>FracLossP2.5Full</t>
  </si>
  <si>
    <t>FracLossP97.5Full</t>
  </si>
  <si>
    <t>Permian/2019 w/2021 bounds</t>
  </si>
  <si>
    <t>FracLoss change site visit</t>
  </si>
  <si>
    <t>Midland_2019_F2021_bounds</t>
  </si>
  <si>
    <t>Delaware_2019_F2021_bounds</t>
  </si>
  <si>
    <t>Well site visits</t>
  </si>
  <si>
    <t>Totals excluding repeats</t>
  </si>
  <si>
    <t>Totals including repeats (no 2019 subcampaigns)</t>
  </si>
  <si>
    <t>Aerial emissions P2.5</t>
  </si>
  <si>
    <t>Aerial emissions P97.5</t>
  </si>
  <si>
    <t>Total emissions + midstream (t/h)</t>
  </si>
  <si>
    <t>Total emissions + midstream P2.5</t>
  </si>
  <si>
    <t>Total emissions + midstream P97.5</t>
  </si>
  <si>
    <t>AerialFracLossP2.5</t>
  </si>
  <si>
    <t>AerialFracLossP97.5</t>
  </si>
  <si>
    <t># production plumes</t>
  </si>
  <si>
    <t># production plumes sel</t>
  </si>
  <si>
    <t># prod sources overall</t>
  </si>
  <si>
    <t># avg prod sources sim</t>
  </si>
  <si>
    <t># midstream plumes</t>
  </si>
  <si>
    <t># midstream sources</t>
  </si>
  <si>
    <t>Null</t>
  </si>
  <si>
    <t>Midstream partial detect (t/h)</t>
  </si>
  <si>
    <t>FracLossMidPartial</t>
  </si>
  <si>
    <t>Aerial midstream emissions (t/h)</t>
  </si>
  <si>
    <t>Aerial midstream emissions P2.5</t>
  </si>
  <si>
    <t>Aerial midstream emissions P97.5</t>
  </si>
  <si>
    <t>Midstream GHGI below min detect (t/h)</t>
  </si>
  <si>
    <t>FracLossMidGHGI</t>
  </si>
  <si>
    <t>GHGI 2022 (for 2020)</t>
  </si>
  <si>
    <t>Total production emissions</t>
  </si>
  <si>
    <t>Total aerial+partial emissions</t>
  </si>
  <si>
    <t>Frac aerial+partial</t>
  </si>
  <si>
    <t>Frac sim</t>
  </si>
  <si>
    <t>Total aerial</t>
  </si>
  <si>
    <t>Frac aerial</t>
  </si>
  <si>
    <t>Frac midstream</t>
  </si>
  <si>
    <t>Frac midstream aerial</t>
  </si>
  <si>
    <t>Fraction of national gas covered</t>
  </si>
  <si>
    <t>2021 US gas prod</t>
  </si>
  <si>
    <t>FracLossProd</t>
  </si>
  <si>
    <t>% SDev of MC iterations</t>
  </si>
  <si>
    <t>SErr of mean total emissions</t>
  </si>
  <si>
    <t>SD to SErr factor</t>
  </si>
  <si>
    <t>Uinta_2020</t>
  </si>
  <si>
    <t>Permian_2019</t>
  </si>
  <si>
    <t>Permian_2020</t>
  </si>
  <si>
    <t>Permian_fall2021</t>
  </si>
  <si>
    <t>Permian_summer2021</t>
  </si>
  <si>
    <t>San_Joaquin_2016</t>
  </si>
  <si>
    <t>San_Joaquin_2017</t>
  </si>
  <si>
    <t>San_Joaquin_fall2020</t>
  </si>
  <si>
    <t>San_Joaquin_summer2020</t>
  </si>
  <si>
    <t>San_Joaquin_fall2021</t>
  </si>
  <si>
    <t>Denver_summer2021</t>
  </si>
  <si>
    <t>Denver_fall2021</t>
  </si>
  <si>
    <t>Pennsylvania_2021</t>
  </si>
  <si>
    <t>Fort_Worth_2021</t>
  </si>
  <si>
    <t>Permian_2019_F2021_bounds</t>
  </si>
  <si>
    <t>Permian_2019_F2021_bounds_Delaware</t>
  </si>
  <si>
    <t>Permian_2019_F2021_Midland</t>
  </si>
  <si>
    <t>Scenario</t>
  </si>
  <si>
    <t>Kairos_Permian</t>
  </si>
  <si>
    <t>Permian total</t>
  </si>
  <si>
    <t>San Joaquin total</t>
  </si>
  <si>
    <t>Denver total</t>
  </si>
  <si>
    <t>State GHGI</t>
  </si>
  <si>
    <t>Per+SJ+DJ</t>
  </si>
  <si>
    <t>Totals excluding high-prod campaigns</t>
  </si>
  <si>
    <t>NG methane fraction</t>
  </si>
  <si>
    <t>kgCH4 per mcfNG</t>
  </si>
  <si>
    <t>Social cost of methane [$/t]</t>
  </si>
  <si>
    <t>Hours per day</t>
  </si>
  <si>
    <t>NG cost [$/mcf]</t>
  </si>
  <si>
    <t>tCH4/mcf(NG)</t>
  </si>
  <si>
    <t>Annual NG value</t>
  </si>
  <si>
    <t>Annual social cost of emissions [$/yr]</t>
  </si>
  <si>
    <t>Annual NG emissions [mcf/yr]</t>
  </si>
  <si>
    <t>Emissions [tCH4/yr]</t>
  </si>
  <si>
    <t>Price/t(CH4)</t>
  </si>
  <si>
    <t>Emissions [tCO2e/yr]</t>
  </si>
  <si>
    <t>GWP20 (IPCC 2021)</t>
  </si>
  <si>
    <t>https://report.ipcc.ch/ar6/wg1/IPCC_AR6_WGI_FullReport.pdf</t>
  </si>
  <si>
    <t>Table 7.15</t>
  </si>
  <si>
    <t>Northeast_Pennsylvania_2021</t>
  </si>
  <si>
    <t>Full upper errorbar % total</t>
  </si>
  <si>
    <t>Full lower errorbar % total</t>
  </si>
  <si>
    <t>Partial prod % total</t>
  </si>
  <si>
    <t>Partial mid % total</t>
  </si>
  <si>
    <t>GHGI midstream sub-aerial fraction</t>
  </si>
  <si>
    <t>Aerially measured/Total emissions</t>
  </si>
  <si>
    <t>Simulation P2.5</t>
  </si>
  <si>
    <t>Simulation P97.5</t>
  </si>
  <si>
    <t>Aerial P2.5</t>
  </si>
  <si>
    <t>Aerial P97.5</t>
  </si>
  <si>
    <t>Well site emissions (t/h)</t>
  </si>
  <si>
    <t>Well site emissions P2.5</t>
  </si>
  <si>
    <t>Well site emissions P97.5</t>
  </si>
  <si>
    <t>Date</t>
  </si>
  <si>
    <t>Avg visits/well site</t>
  </si>
  <si>
    <t>SErr of sample mean</t>
  </si>
  <si>
    <t>Simulation % well site</t>
  </si>
  <si>
    <t>Aerial % well site</t>
  </si>
  <si>
    <t>Partial % well site</t>
  </si>
  <si>
    <t>Methane fractional loss simulation well site</t>
  </si>
  <si>
    <t>Methane fractional loss simulation well siteP2.5</t>
  </si>
  <si>
    <t>Methane fractional loss simulation well siteP97.5</t>
  </si>
  <si>
    <t>Methane fractional loss aerial well site</t>
  </si>
  <si>
    <t>Methane fractional loss partialP2.5</t>
  </si>
  <si>
    <t>Methane fractional loss partialP97.5</t>
  </si>
  <si>
    <t>FracLossProdP2.5</t>
  </si>
  <si>
    <t>FracLossProdP97.5</t>
  </si>
  <si>
    <t>FracLossMidAerial</t>
  </si>
  <si>
    <t>FracLossMidAerialP2.5</t>
  </si>
  <si>
    <t>FracLossMidAerialP97.5</t>
  </si>
  <si>
    <t>FracLossMidPartialP2.5</t>
  </si>
  <si>
    <t>FracLossMidPartialP97.5</t>
  </si>
  <si>
    <t>FracLossMidGHGIP2.5</t>
  </si>
  <si>
    <t>FracLossMidGHGIP97.5</t>
  </si>
  <si>
    <t>FracLossMidstream total</t>
  </si>
  <si>
    <t>FracLossMidstream totalP2.5</t>
  </si>
  <si>
    <t>FracLossMidstream totalP97.5</t>
  </si>
  <si>
    <t>% well site visits with plume</t>
  </si>
  <si>
    <t>% well site visits with selected plume</t>
  </si>
  <si>
    <t>Well sites covered</t>
  </si>
  <si>
    <t>% well sites ever emitting</t>
  </si>
  <si>
    <t>Total aerialP2.5</t>
  </si>
  <si>
    <t>Total aerialP97.5</t>
  </si>
  <si>
    <t>Total aerial+partial emissionsP2.5</t>
  </si>
  <si>
    <t>Total aerial+partial emissionsP97.5</t>
  </si>
  <si>
    <t>Total sim emissionsP2.5</t>
  </si>
  <si>
    <t>Total sim emissionsP97.5</t>
  </si>
  <si>
    <t>Total aerial all segments inc below min detect</t>
  </si>
  <si>
    <t>Total aerial all segments inc below min detect P2.5</t>
  </si>
  <si>
    <t>Total aerial all segments inc below min detect P97.5</t>
  </si>
  <si>
    <t>Total pipeline emissions</t>
  </si>
  <si>
    <t>Total pipeline emissions P2.5</t>
  </si>
  <si>
    <t>Total pipeline emissions P97.5</t>
  </si>
  <si>
    <t>Total compressor emissions</t>
  </si>
  <si>
    <t>Total compressor emissions P2.5</t>
  </si>
  <si>
    <t>Total compressor emissions P97.5</t>
  </si>
  <si>
    <t>Total processing emissions</t>
  </si>
  <si>
    <t>Total processing emissions P2.5</t>
  </si>
  <si>
    <t>Total processing emissions P97.5</t>
  </si>
  <si>
    <t>Total other midstream emissions</t>
  </si>
  <si>
    <t>Total other midstream emissions P2.5</t>
  </si>
  <si>
    <t>Total other midstream emissions P97.5</t>
  </si>
  <si>
    <t>Partial P2.5</t>
  </si>
  <si>
    <t>Partial P97.5</t>
  </si>
  <si>
    <t>Table 7</t>
  </si>
  <si>
    <t>Avg emissions/site</t>
  </si>
  <si>
    <t>REVISIT</t>
  </si>
  <si>
    <t>Table 23</t>
  </si>
  <si>
    <t>Table 24</t>
  </si>
  <si>
    <t>Methane emissions [t/hr]</t>
  </si>
  <si>
    <t>Methane loss rate [%]</t>
  </si>
  <si>
    <t>GHGI 2022</t>
  </si>
  <si>
    <t>Total</t>
  </si>
  <si>
    <t>Table 25</t>
  </si>
  <si>
    <t>Production: Simulated [%]</t>
  </si>
  <si>
    <t>Production: Aerial [%]</t>
  </si>
  <si>
    <t>Production: Aerial partial [%]</t>
  </si>
  <si>
    <t>Production: Total [%]</t>
  </si>
  <si>
    <t>Table 26</t>
  </si>
  <si>
    <t>Midstream: Simulated [%]</t>
  </si>
  <si>
    <t>Midstream: Aerial [%]</t>
  </si>
  <si>
    <t>Midstream: Aerial partial [%]</t>
  </si>
  <si>
    <t>Midstream: Total [%]</t>
  </si>
  <si>
    <t>Table 27</t>
  </si>
  <si>
    <t>Production: Simulated full distribution [%]</t>
  </si>
  <si>
    <t>Production: GHGI [%]</t>
  </si>
  <si>
    <t>% difference</t>
  </si>
  <si>
    <t>Tot sim emissions loss rate</t>
  </si>
  <si>
    <t>Tot sim emissions loss rate P2.5</t>
  </si>
  <si>
    <t>Tot sim emissions loss rate P97.5</t>
  </si>
  <si>
    <t>Prod-only state GHGI loss</t>
  </si>
  <si>
    <t>Prod-only state GHGI loss low</t>
  </si>
  <si>
    <t>Prod-only state GHGI loss high</t>
  </si>
  <si>
    <t>Table 28</t>
  </si>
  <si>
    <t>Logormal fit mean</t>
  </si>
  <si>
    <t>From Jupyter code</t>
  </si>
  <si>
    <t>Lognormal/This study</t>
  </si>
  <si>
    <t>Table 29</t>
  </si>
  <si>
    <t>Pipeline [t/h]</t>
  </si>
  <si>
    <t>Compressor [t/h]</t>
  </si>
  <si>
    <t>Processing [t/h]</t>
  </si>
  <si>
    <t>Other [t/h]</t>
  </si>
  <si>
    <t>Total [t/h]</t>
  </si>
  <si>
    <t>Pipeline %</t>
  </si>
  <si>
    <t>Aerial fraction of total</t>
  </si>
  <si>
    <t>Table 30</t>
  </si>
  <si>
    <t>Aerial fraction of total production</t>
  </si>
  <si>
    <t>Aerial fraction of total midstream</t>
  </si>
  <si>
    <t>Total aerial all segments inc below transition</t>
  </si>
  <si>
    <t>Total aerial all segments inc below transition P2.5</t>
  </si>
  <si>
    <t>Total aerial all segments inc below transition P97.5</t>
  </si>
  <si>
    <t>Total aerial prod emissions inc below transition</t>
  </si>
  <si>
    <t>Total aerial prod emissions inc below transition P2.5</t>
  </si>
  <si>
    <t>Total aerial prod emissions inc below transition P97.5</t>
  </si>
  <si>
    <t>Total aerial mid emissions inc below transition</t>
  </si>
  <si>
    <t>Total aerial mid emissions inc below transition P2.5</t>
  </si>
  <si>
    <t>Total aerial mid emissions inc below transition P97.5</t>
  </si>
  <si>
    <t>Midstream partial detect fraction of total</t>
  </si>
  <si>
    <t>Well site partial detect fraction total</t>
  </si>
  <si>
    <t># avg midstream sources sim</t>
  </si>
  <si>
    <t>These data represent model outputs for Sherwin et al. 2023</t>
  </si>
  <si>
    <t>Methane emissions quantities are presented in metric ton per hour</t>
  </si>
  <si>
    <t>Tot aerially measured emissions inc below detection limit</t>
  </si>
  <si>
    <t>Cusworth O&amp;G emissions</t>
  </si>
  <si>
    <t>Cusworth/Our study</t>
  </si>
  <si>
    <t>Table 17</t>
  </si>
  <si>
    <t>Southwest_Pennsylvania_2021</t>
  </si>
  <si>
    <t>P2.5</t>
  </si>
  <si>
    <t>P97.5</t>
  </si>
  <si>
    <t>PA 2021 CI mult</t>
  </si>
  <si>
    <t>Mean</t>
  </si>
  <si>
    <t>Total excluding repeats</t>
  </si>
  <si>
    <t>GHGI emissions t/h</t>
  </si>
  <si>
    <t>Estimated emission rate</t>
  </si>
  <si>
    <t>Our estimate as multiplier of GHGi</t>
  </si>
  <si>
    <t>Our estimate as a multiplier of Alvarez et al</t>
  </si>
  <si>
    <t>Table 5</t>
  </si>
  <si>
    <t>[Enverus, t(CH4)/h]</t>
  </si>
  <si>
    <t>Prod simulation (t/h)</t>
  </si>
  <si>
    <t>Prod simulation P2.5</t>
  </si>
  <si>
    <t>Prod simulation P97.5</t>
  </si>
  <si>
    <t>Prod aerial (t/h)</t>
  </si>
  <si>
    <t>Prod aerial P2.5</t>
  </si>
  <si>
    <t>Prod aerial P97.5</t>
  </si>
  <si>
    <t>Prod partial (t/h)</t>
  </si>
  <si>
    <t>Prod partial P2.5</t>
  </si>
  <si>
    <t>Prod partial P97.5</t>
  </si>
  <si>
    <t>Prod emissions (t/h)</t>
  </si>
  <si>
    <t>Prod emissions P2.5</t>
  </si>
  <si>
    <t>Prod emissions P97.5</t>
  </si>
  <si>
    <t>Total emissions (t/h)</t>
  </si>
  <si>
    <t>Total emissions P2.5</t>
  </si>
  <si>
    <t>Total emissions P97.5</t>
  </si>
  <si>
    <t>Remove negative Kairos emissions</t>
  </si>
  <si>
    <t>Simulation % prod</t>
  </si>
  <si>
    <t>Aerial % prod</t>
  </si>
  <si>
    <t>Partial % prod</t>
  </si>
  <si>
    <t>Methane fractional loss simulation prod</t>
  </si>
  <si>
    <t>Methane fractional loss simulation prodP2.5</t>
  </si>
  <si>
    <t>Methane fractional loss simulation prodP97.5</t>
  </si>
  <si>
    <t>Methane fractional loss aerial prod</t>
  </si>
  <si>
    <t>AerialFracLossProdP2.5</t>
  </si>
  <si>
    <t>AerialFracLossProdP97.5</t>
  </si>
  <si>
    <t>Methane fractional loss partial prod</t>
  </si>
  <si>
    <t>Methane fractional loss partial prodP2.5</t>
  </si>
  <si>
    <t>Methane fractional loss partial prodP97.5</t>
  </si>
  <si>
    <t>20230815j</t>
  </si>
  <si>
    <t>NAN</t>
  </si>
  <si>
    <t>Aerial midstream emissions (t/h): Estimated scenario-wide midstream emissions from aerially measured plumes, in metric tons per hour.</t>
  </si>
  <si>
    <t>Field descriptions</t>
  </si>
  <si>
    <t>Run# : Number identifying the Run in question. A Run is A full simulation of A selected scenario.</t>
  </si>
  <si>
    <t>Batch counter: Each scenario run often includes multiple batches of Monte Carlo iterations, run in series to circumvent memory and CPU limitations. This tracks each batch through a numerical identifier of 1-10.</t>
  </si>
  <si>
    <t>scenario: the scenario to Run, including the aerial campaign, basin, year, any additional geographic restrictions, etc.</t>
  </si>
  <si>
    <t>Prod simulation (t/h): Estimated scenario-wide production emissions in metric tons per hour from the Rutherford et al. simulation.</t>
  </si>
  <si>
    <t>Prod simulation P2.5: The 2.5% confidence interval of the above.</t>
  </si>
  <si>
    <t>Prod simulation P97.5: The 97.5% confidence interval of the above.</t>
  </si>
  <si>
    <t>Prod aerial (t/h): Estimated scenario-wide production emissions from aerially measured plumes above the transition point, in metric tons per hour.</t>
  </si>
  <si>
    <t>Prod aerial P2.5: The 2.5% confidence interval of the above.</t>
  </si>
  <si>
    <t>Prod aerial P97.5: The 97.5% confidence interval of the above.</t>
  </si>
  <si>
    <t>Prod partial (t/h): Estimated scenario-wide production emissions implied due to partial detection based on aerially measured plumes above the transition point, in metric tons per hour.</t>
  </si>
  <si>
    <t>Prod partial P2.5: The 2.5% confidence interval of the above.</t>
  </si>
  <si>
    <t>Prod partial P97.5: The 97.5% confidence interval of the above.</t>
  </si>
  <si>
    <t>Prod emissions (t/h): Estimated scenario wide emission from production sites (well sites) after combining data from all available sources.</t>
  </si>
  <si>
    <t>Prod emissions P2.5: The 2.5% confidence interval of the above.</t>
  </si>
  <si>
    <t>Prod emissions P97.5: The 97.5% confidence interval of the above.</t>
  </si>
  <si>
    <t>Aerial midstream emissions P2.5: The 2.5% confidence interval of the above.</t>
  </si>
  <si>
    <t>Aerial midstream emissions P97.5: The 97.5% confidence interval of the above.</t>
  </si>
  <si>
    <t>Midstream partial detect (t/h): Estimated scenario-wide midstream emissions implied due to partial detection based on aerially measured plumes, in metric tons per hour.</t>
  </si>
  <si>
    <t>Midstream GHGI below min detect (t/h): Estimated scenario-wide midstream emissions below the aerial detection limit, estimated using EPA Greenhouse Gas Inventory data, presented in metric tons per hour</t>
  </si>
  <si>
    <t>Total emissions (t/h): Total estimated emissions after combining all data sources, including production and midstream, in metric tons per hour.</t>
  </si>
  <si>
    <t>Total emissions P2.5: The 2.5% confidence interval of the above.</t>
  </si>
  <si>
    <t>Total emissions P97.5: The 97.5% confidence interval of the above.</t>
  </si>
  <si>
    <t>% SDev of MC iterations: The standard deviation of total estimated emissions across production and midstream across all Monte Carlo iterations in the selected run. Computed over percent deviations in each iteration from the mean over the full run.</t>
  </si>
  <si>
    <t>Transition point: the emission size beyond which (≥) to use aerially measured emissions instead of simulated emissions for well sites. Averaged over all Monte Carlo iterations in the selected run.</t>
  </si>
  <si>
    <t>N: the Total Number of Monte Carlo iterations in the selected Run, including all batches.</t>
  </si>
  <si>
    <t>min detected emission: the smallest detected emission in Each campaign, computed using initial mean quantification estimates provided by Each team, without controlled release corrections.</t>
  </si>
  <si>
    <t>Wells covered: Total count of Wells covered in the selected scenario.</t>
  </si>
  <si>
    <t>well visits: Total well visits in the selected scenario, including Each aerial visit to A well as A separate measurement.</t>
  </si>
  <si>
    <t>Wells per site: Average Wells per site in the selected basin/region.</t>
  </si>
  <si>
    <t># production plumes: Total number of aerially detect production plumes from the chosen scenario.</t>
  </si>
  <si>
    <t># production plumes sel: Average number of aerially detect production plumes from the chosen scenario that were selected for use in a given Monte Carlo iteration.</t>
  </si>
  <si>
    <t># prod sources overall: The total number of well site sources emitting at any point during the selected campaign.</t>
  </si>
  <si>
    <t># avg prod sources sim: The average number of well sites emitting in a given Monte Carlo iteration.</t>
  </si>
  <si>
    <t># midstream plumes: The total number of plumes attributed to midstream assets in the selected scenario.</t>
  </si>
  <si>
    <t># midstream sources: The total number of midstream sources identified in the selected scenario.</t>
  </si>
  <si>
    <t># avg midstream sources sim: Average numer of emitting midstream sources in a given Monte Carlo iteration.</t>
  </si>
  <si>
    <t>Stratify by covered prod: Stratify the Rutherford et al. simulated emissions by the productivity characteristics of the surveyed region (if Yes). If No, assume the surveyed region is representative of the full simulated basin.</t>
  </si>
  <si>
    <t>Total sim emissions: Total simulated production emissions from the Rutherford et al model. below the Transition point.</t>
  </si>
  <si>
    <t>Include repeats: if Yes, Include repeated aerial asset visits as independent measurements to be simulated separately. if No (default), simulate emissions only once per asset in A given Monte Carlo iteration.</t>
  </si>
  <si>
    <t>Date: the Date on which the selected simulation was run. Sometimes includes A numeric counter. Appears in the names of saved files.</t>
  </si>
  <si>
    <t>Remove negative Kairos emissions: If Yes, set to zero any small negative aerially measured emissions introduced from simulated normal error in Kairos measurements. If No (default), leave the negatives in. A Yes value introduces a small upward bias of order 1% or less.</t>
  </si>
  <si>
    <t>Well site visits: Total number of well site measurements/visits (times the aerial survey flew over and collected data over a well site).</t>
  </si>
  <si>
    <t>Avg visits/well site: Average aerial measurements/visits per well site in the selected scenario.</t>
  </si>
  <si>
    <t>SD to SErr factor: Conversion factor from standard deviation to standard error for mean values over the Monte Carlo, accounting for the fact that many assets were measured multiple times in the campaign, but source-level simulations simulate only one emission per site at A given time.</t>
  </si>
  <si>
    <t>SErr of mean Total emissions: standard error of mean percent difference in Total Estimated emissions from production and midstream in the selected campaign, comparing the Total before and after including sub-aerially detectable midstream emissions.</t>
  </si>
  <si>
    <t>SErr of sample mean: standard error of the sample mean sub-aerial emissions as A percentage of Total Estimated emissions from production and midstream.</t>
  </si>
  <si>
    <t>Simulation % prod: Production emissions from the Rutherford et al. model below the transition point as a percentage of total estimated production emissions.</t>
  </si>
  <si>
    <t>Aerial % prod: Aerially measured production emissions above the transition point as a percentage of total production emissions.</t>
  </si>
  <si>
    <t>Partial % prod: Estimated aerially detectible missed production emissions in the partial detection range above the transition point as a percentage of total production emissions.</t>
  </si>
  <si>
    <t>Methane fractional loss simulation Prod: Methane fractional loss rate based solely on simulated production emissions from the Rutherford et al. model below the Transition point.</t>
  </si>
  <si>
    <t>Methane fractional loss simulation prodP2.5: The 2.5% confidence interval of the above.</t>
  </si>
  <si>
    <t>Methane fractional loss simulation prodP97.5: The 97.5% confidence interval of the above.</t>
  </si>
  <si>
    <t>Methane fractional loss aerial Prod: Methane fractional loss based solely on aerially measured production emissions above the Transition point.</t>
  </si>
  <si>
    <t>AerialFracLossProdP2.5: The 2.5% confidence interval of the above.</t>
  </si>
  <si>
    <t>AerialFracLossProdP97.5: The 97.5% confidence interval of the above.</t>
  </si>
  <si>
    <t>Methane fractional loss partial Prod: Methane fractional loss based solely on aerially detectable missed production emissions in the partial detection range above the Transition point.</t>
  </si>
  <si>
    <t>Methane fractional loss partial prodP2.5: The 2.5% confidence interval of the above.</t>
  </si>
  <si>
    <t>Methane fractional loss partial prodP97.5: The 97.5% confidence interval of the above.</t>
  </si>
  <si>
    <t>FracLossProd: Overall fractional loss for production in the selected scenario, combining all available data sources.</t>
  </si>
  <si>
    <t>FracLossProdP2.5: The 2.5% confidence interval of the above.</t>
  </si>
  <si>
    <t>FracLossProdP97.5: The 97.5% confidence interval of the above.</t>
  </si>
  <si>
    <t>Methane fractional loss Total: Total Methane fractional loss rate, combining all available production and midstream data sources.</t>
  </si>
  <si>
    <t>FracLossP2.5: The 2.5% confidence interval of the above.</t>
  </si>
  <si>
    <t>FracLossP97.5: The 2.5% confidence interval of the above.</t>
  </si>
  <si>
    <t>FracLossP2.5Full: The 2.5% confidence interval of overall fractional loss, adding the mean.</t>
  </si>
  <si>
    <t>FracLossP97.5Full: The 97.5% confidence interval of overall fractional loss, adding the mean.</t>
  </si>
  <si>
    <t>FracLossMidAerial: Methane fractional loss based solely on aerially measured midstream emissions.</t>
  </si>
  <si>
    <t>FracLossMidAerialP2.5: The 2.5% confidence interval of the above.</t>
  </si>
  <si>
    <t>FracLossMidAerialP97.5: The 97.5% confidence interval of the above.</t>
  </si>
  <si>
    <t>FracLossMidPartial: Methane fractional loss based solely on aerially detectable missed midstream emissions in the partial detection range.</t>
  </si>
  <si>
    <t>FracLossMidPartialP2.5: The 2.5% confidence interval of the above.</t>
  </si>
  <si>
    <t>FracLossMidPartialP97.5: The 97.5% confidence interval of the above.</t>
  </si>
  <si>
    <t>FracLossMidGHGI: Methane fractional loss based solely on Estimated midstream emissions below the aerial detection threshold, based on Greenhouse Gas Inventory data and analysis.</t>
  </si>
  <si>
    <t>FracLossMidGHGIP2.5: The 2.5% confidence interval of the above.</t>
  </si>
  <si>
    <t>FracLossMidGHGIP97.5: The 97.5% confidence interval of the above.</t>
  </si>
  <si>
    <t>FracLossMidstream Total: Overall midstream Methane fractional loss rate Estimated by combining all available midstream data sources.</t>
  </si>
  <si>
    <t>FracLossMidstream totalP2.5: The 2.5% confidence interval of the above.</t>
  </si>
  <si>
    <t>FracLossMidstream totalP97.5: The 97.5% confidence interval of the above.</t>
  </si>
  <si>
    <t>% well site visits with plume: The percentage of well site visits (measurements) resulting in an aerially detected emission.</t>
  </si>
  <si>
    <t>% well site visits with selected plume: The percentage of well site visits with an aerially detected emission above the transition point.</t>
  </si>
  <si>
    <t>% well sites ever emitting: The percentage of well sites emitting at any point during the campaign underlying the selected scenario.</t>
  </si>
  <si>
    <t>Fraction sim retained: Fraction of Overall emissions from the Rutherford et al. model for the selected scenario that are retained in the final analysis (modeled emissions below the Transition point divided by Total modeled emission)</t>
  </si>
  <si>
    <t>well sites covered: Total Number of well sites covered (measured) during the campaign underlying the selected scenario.</t>
  </si>
  <si>
    <t>Avg % wells emitting: Average percent of wells emitting during a given Monte Carlo iteration, assuming at most one well per site is emitting.</t>
  </si>
  <si>
    <t>Avg % sites emitting: The average fraction of well sites emitting in a given Monte Carlo iteration.</t>
  </si>
  <si>
    <t>Total aerial: Total aerially measured emissions at production and midstream sites, including only emissions above the Transition point. in metric tons per hour.</t>
  </si>
  <si>
    <t>Total aerialP2.5: The 2.5% confidence interval of the above.</t>
  </si>
  <si>
    <t>Total aerialP97.5: The 97.5% confidence interval of the above.</t>
  </si>
  <si>
    <t>Total aerial+partial emissions: Total aerially measured emissions at production and midstream sites, including implied emissions in the partial detection range, including only emissions above the Transition point. in metric tons per hour.</t>
  </si>
  <si>
    <t>Total aerial+partial emissionsP2.5: The 2.5% confidence interval of the above.</t>
  </si>
  <si>
    <t>Total aerial+partial emissionsP97.5: The 97.5% confidence interval of the above.</t>
  </si>
  <si>
    <t>Total sim emissions: Total simulated emissions below the transition point, including the Rutherford et al. model for production and the GHGI-based midstream emissions estimation.</t>
  </si>
  <si>
    <t>Total sim emissionsP2.5: The 2.5% confidence interval of the above.</t>
  </si>
  <si>
    <t>Total sim emissionsP97.5: The 97.5% confidence interval of the above.</t>
  </si>
  <si>
    <t>Total aerial all segments inc below transition: Total aerially measured emissions from production and midstream, including below the transition point. In metric tons per hour.</t>
  </si>
  <si>
    <t>Total aerial all segments inc below transition P2.5: The 2.5% confidence interval of the above.</t>
  </si>
  <si>
    <t>Total aerial all segments inc below transition P97.5: The 97.5% confidence interval of the above.</t>
  </si>
  <si>
    <t>Total pipeline emissions: Total aerially measured pipeline emissions, in metric tons per hour.</t>
  </si>
  <si>
    <t>Total pipeline emissions P2.5: The 2.5% confidence interval of the above.</t>
  </si>
  <si>
    <t>Total pipeline emissions P97.5: The 97.5% confidence interval of the above.</t>
  </si>
  <si>
    <t>Total compressor emissions: Total aerially measured compressor emissions, in metric tons per hour.</t>
  </si>
  <si>
    <t>Total compressor emissions P2.5: The 2.5% confidence interval of the above.</t>
  </si>
  <si>
    <t>Total compressor emissions P97.5: The 97.5% confidence interval of the above.</t>
  </si>
  <si>
    <t>Total processing emissions: Total aerially Gas processing plant pipeline emissions, in metric tons per hour.</t>
  </si>
  <si>
    <t>Total processing emissions P2.5: The 2.5% confidence interval of the above.</t>
  </si>
  <si>
    <t>Total processing emissions P97.5: The 97.5% confidence interval of the above.</t>
  </si>
  <si>
    <t>Total other midstream emissions: Total aerially measured other midstream emissions, in metric tons per hour.</t>
  </si>
  <si>
    <t>Total other midstream emissions P2.5: The 2.5% confidence interval of the above.</t>
  </si>
  <si>
    <t>Total other midstream emissions P97.5: The 97.5% confidence interval of the above.</t>
  </si>
  <si>
    <t>Frac aerial: aerially measured emissions as A Fraction of Total Estimated emissions across the selected campaign. Excludes production emissions below the Transition point.</t>
  </si>
  <si>
    <t>Frac aerial+partial: aerial + partial detection emissions from production and midstream as A Fraction of Total Estimated emissions for the selected campaign.</t>
  </si>
  <si>
    <t>Frac sim: Simulated emissions as a fraction of total estimated emissions across the selected campaign.</t>
  </si>
  <si>
    <t>Frac midstream: midstream emissions as A Fraction of Total Estimated emissions from production and midstream.</t>
  </si>
  <si>
    <t>Frac midstream aerial: aerial midstream emissions as A Fraction of Total Estimated emissions from production and midstream.</t>
  </si>
  <si>
    <t>Total production emissions: Total Estimated emissions from well sites surveyed in the selected scenario, accounting for A Transition point from simulated to aerially measured emissions.</t>
  </si>
  <si>
    <t>Total/sim: Total Estimated well site emissions as A Fraction of Total simulated emissions, including those above the Transition point.</t>
  </si>
  <si>
    <t>production/site covered: Average Methane production per covered well site in the selected scenario.</t>
  </si>
  <si>
    <t>State GHGI: Natural Gas fractional loss rate according to the GHGI in the selected state.</t>
  </si>
  <si>
    <t>NG Methane Fraction</t>
  </si>
  <si>
    <t>kgCH4 per mcfNG: Kilograms of methane per thousand standard cubic feet of methane, converting from the molar methane fraction assumed in Sherwin, Chen et al. 2021 to the molar methane fraction assumed in this study.</t>
  </si>
  <si>
    <t>Full upper errorbar % total: Upper confidence bound on total methane emissions from production and midstream as a percentage of methane production. 95% confidence interval accounts for the fact that many sites were visited multiple times. Confidence interval presented as a percentage of the mean estimate.</t>
  </si>
  <si>
    <t>Full lower errorbar % total: Lower confidence bound on total methane emissions from production and midstream as a percentage of methane production. 95% confidence interval accounts for the fact that many sites were visited multiple times. Confidence interval presented as a percentage of the mean estimate.</t>
  </si>
  <si>
    <t>Partial prod % total: Production emissions in the partial detection range, implied by detected emissions in the same range, as a fraction of total estimated emissions from both production and midstream.</t>
  </si>
  <si>
    <t>Partial mid % total: midstream emissions in the partial detection range, implied by detected emissions in the same range, as a fraction of total estimated emissions from both production and midstream.</t>
  </si>
  <si>
    <t>Tot sim emissions loss rate P2.5: The 2.5% confidence interval of the above.</t>
  </si>
  <si>
    <t>Tot sim emissions loss rate: loss rate from purely simulated emissions, including those above the Transition point.</t>
  </si>
  <si>
    <t>Prod-only State GHGI loss: production segment (well site) Natural Gas loss rate according to the State-level GHGI for the selected scenario.</t>
  </si>
  <si>
    <t>Prod-only state GHGI loss low: Low bound of the above (treated as a 2.5% confidence interval).</t>
  </si>
  <si>
    <t>Tot sim emissions loss rate P97.5: The 97.5% confidence interval of the above.</t>
  </si>
  <si>
    <t>Prod-only state GHGI loss high: Low bound of the above (treated as a 97.5% confidence interval).</t>
  </si>
  <si>
    <t>Total aerial prod emissions inc below transition: Total aerially detected production emissions in metric tons per hour, including those below the transition point.</t>
  </si>
  <si>
    <t>Total aerial prod emissions inc below transition P2.5: The 2.5% confidence interval of the above.</t>
  </si>
  <si>
    <t>Total aerial prod emissions inc below transition P97.5: The 97.5% confidence interval of the above.</t>
  </si>
  <si>
    <t>Total aerial mid emissions inc below transition: Total aerially detected midstream emissions, including below the transition point (if any).</t>
  </si>
  <si>
    <t>Total aerial mid emissions inc below transition P2.5: The 2.5% confidence interval of the above.</t>
  </si>
  <si>
    <t>Total aerial mid emissions inc below transition P97.5: The 97.5% confidence interval of the above.</t>
  </si>
  <si>
    <t>GHGI emissions with ±50% of this study</t>
  </si>
  <si>
    <t>Simulated emissions % GHGI this study</t>
  </si>
  <si>
    <t>Total covered production (t(CH4)/hr): Total methane production from well sites surveyed at least once by the aerial campaign (weighted average over months in which a well site was surveyed).</t>
  </si>
  <si>
    <t>GHGI prod only loss rate</t>
  </si>
  <si>
    <t>Table 22 (and then some)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</si>
</sst>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
    <numFmt numFmtId="166" formatCode="_(* #,##0_);_(* \(#,##0\);_(* &quot;-&quot;??_);_(@_)"/>
    <numFmt numFmtId="167" formatCode="0.000000"/>
    <numFmt numFmtId="168" formatCode="_(* #,##0.0000_);_(* \(#,##0.0000\);_(* &quot;-&quot;??_);_(@_)"/>
    <numFmt numFmtId="169" formatCode="0.000%"/>
  </numFmts>
  <fonts count="4" x14ac:knownFonts="1">
    <font>
      <sz val="12"/>
      <color theme="1"/>
      <name val="Calibri"/>
      <family val="2"/>
      <scheme val="minor"/>
    </font>
    <font>
      <sz val="12"/>
      <color theme="1"/>
      <name val="Calibri"/>
      <family val="2"/>
      <scheme val="minor"/>
    </font>
    <font>
      <sz val="12"/>
      <color rgb="FF000000"/>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5">
    <xf numFmtId="0" fontId="0" fillId="0" borderId="0" xfId="0"/>
    <xf numFmtId="0" fontId="2" fillId="0" borderId="0" xfId="0" applyFont="1"/>
    <xf numFmtId="164" fontId="0" fillId="0" borderId="0" xfId="1" applyNumberFormat="1" applyFont="1"/>
    <xf numFmtId="10" fontId="0" fillId="0" borderId="0" xfId="1" applyNumberFormat="1" applyFont="1"/>
    <xf numFmtId="1" fontId="0" fillId="0" borderId="0" xfId="0" applyNumberFormat="1"/>
    <xf numFmtId="10" fontId="0" fillId="0" borderId="0" xfId="0" applyNumberFormat="1"/>
    <xf numFmtId="165" fontId="0" fillId="0" borderId="0" xfId="0" applyNumberFormat="1"/>
    <xf numFmtId="166" fontId="0" fillId="0" borderId="0" xfId="2" applyNumberFormat="1" applyFont="1"/>
    <xf numFmtId="43" fontId="0" fillId="0" borderId="0" xfId="2" applyNumberFormat="1" applyFont="1"/>
    <xf numFmtId="9" fontId="0" fillId="0" borderId="0" xfId="1" applyFont="1"/>
    <xf numFmtId="166" fontId="0" fillId="0" borderId="0" xfId="0" applyNumberFormat="1"/>
    <xf numFmtId="2" fontId="0" fillId="0" borderId="0" xfId="0" applyNumberFormat="1"/>
    <xf numFmtId="0" fontId="0" fillId="0" borderId="0" xfId="1" applyNumberFormat="1" applyFont="1"/>
    <xf numFmtId="0" fontId="0" fillId="0" borderId="0" xfId="0" applyNumberFormat="1"/>
    <xf numFmtId="43" fontId="0" fillId="0" borderId="0" xfId="0" applyNumberFormat="1"/>
    <xf numFmtId="11" fontId="0" fillId="0" borderId="0" xfId="0" applyNumberFormat="1"/>
    <xf numFmtId="166" fontId="2" fillId="0" borderId="0" xfId="0" applyNumberFormat="1" applyFont="1"/>
    <xf numFmtId="10" fontId="1" fillId="0" borderId="0" xfId="1" applyNumberFormat="1" applyFont="1"/>
    <xf numFmtId="164" fontId="0" fillId="0" borderId="0" xfId="0" applyNumberFormat="1"/>
    <xf numFmtId="0" fontId="0" fillId="0" borderId="1" xfId="0" applyBorder="1"/>
    <xf numFmtId="167" fontId="0" fillId="0" borderId="0" xfId="0" applyNumberFormat="1"/>
    <xf numFmtId="168" fontId="0" fillId="0" borderId="0" xfId="2" applyNumberFormat="1" applyFont="1"/>
    <xf numFmtId="0" fontId="3" fillId="0" borderId="0" xfId="0" applyFont="1"/>
    <xf numFmtId="9" fontId="0" fillId="0" borderId="0" xfId="1" applyNumberFormat="1" applyFont="1"/>
    <xf numFmtId="169" fontId="0" fillId="0" borderId="0" xfId="1" applyNumberFormat="1" applyFont="1"/>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4D91-20EA-5B49-A447-2C2C78A5B11B}">
  <dimension ref="A1:A141"/>
  <sheetViews>
    <sheetView topLeftCell="A44" workbookViewId="0">
      <selection activeCell="H48" sqref="H48"/>
    </sheetView>
  </sheetViews>
  <sheetFormatPr baseColWidth="10" defaultRowHeight="16" x14ac:dyDescent="0.2"/>
  <sheetData>
    <row r="1" spans="1:1" x14ac:dyDescent="0.2">
      <c r="A1" t="s">
        <v>250</v>
      </c>
    </row>
    <row r="2" spans="1:1" x14ac:dyDescent="0.2">
      <c r="A2" t="s">
        <v>251</v>
      </c>
    </row>
    <row r="3" spans="1:1" x14ac:dyDescent="0.2">
      <c r="A3" t="s">
        <v>299</v>
      </c>
    </row>
    <row r="4" spans="1:1" x14ac:dyDescent="0.2">
      <c r="A4" t="s">
        <v>300</v>
      </c>
    </row>
    <row r="5" spans="1:1" x14ac:dyDescent="0.2">
      <c r="A5" t="s">
        <v>301</v>
      </c>
    </row>
    <row r="6" spans="1:1" x14ac:dyDescent="0.2">
      <c r="A6" t="s">
        <v>302</v>
      </c>
    </row>
    <row r="7" spans="1:1" x14ac:dyDescent="0.2">
      <c r="A7" t="s">
        <v>303</v>
      </c>
    </row>
    <row r="8" spans="1:1" x14ac:dyDescent="0.2">
      <c r="A8" t="s">
        <v>304</v>
      </c>
    </row>
    <row r="9" spans="1:1" x14ac:dyDescent="0.2">
      <c r="A9" t="s">
        <v>305</v>
      </c>
    </row>
    <row r="10" spans="1:1" x14ac:dyDescent="0.2">
      <c r="A10" t="s">
        <v>306</v>
      </c>
    </row>
    <row r="11" spans="1:1" x14ac:dyDescent="0.2">
      <c r="A11" t="s">
        <v>307</v>
      </c>
    </row>
    <row r="12" spans="1:1" x14ac:dyDescent="0.2">
      <c r="A12" t="s">
        <v>308</v>
      </c>
    </row>
    <row r="13" spans="1:1" x14ac:dyDescent="0.2">
      <c r="A13" t="s">
        <v>309</v>
      </c>
    </row>
    <row r="14" spans="1:1" x14ac:dyDescent="0.2">
      <c r="A14" t="s">
        <v>310</v>
      </c>
    </row>
    <row r="15" spans="1:1" x14ac:dyDescent="0.2">
      <c r="A15" t="s">
        <v>311</v>
      </c>
    </row>
    <row r="16" spans="1:1" x14ac:dyDescent="0.2">
      <c r="A16" t="s">
        <v>312</v>
      </c>
    </row>
    <row r="17" spans="1:1" x14ac:dyDescent="0.2">
      <c r="A17" t="s">
        <v>313</v>
      </c>
    </row>
    <row r="18" spans="1:1" x14ac:dyDescent="0.2">
      <c r="A18" t="s">
        <v>314</v>
      </c>
    </row>
    <row r="19" spans="1:1" x14ac:dyDescent="0.2">
      <c r="A19" t="s">
        <v>298</v>
      </c>
    </row>
    <row r="20" spans="1:1" x14ac:dyDescent="0.2">
      <c r="A20" t="s">
        <v>315</v>
      </c>
    </row>
    <row r="21" spans="1:1" x14ac:dyDescent="0.2">
      <c r="A21" t="s">
        <v>316</v>
      </c>
    </row>
    <row r="22" spans="1:1" x14ac:dyDescent="0.2">
      <c r="A22" t="s">
        <v>317</v>
      </c>
    </row>
    <row r="23" spans="1:1" x14ac:dyDescent="0.2">
      <c r="A23" t="s">
        <v>318</v>
      </c>
    </row>
    <row r="24" spans="1:1" x14ac:dyDescent="0.2">
      <c r="A24" t="s">
        <v>319</v>
      </c>
    </row>
    <row r="25" spans="1:1" x14ac:dyDescent="0.2">
      <c r="A25" t="s">
        <v>320</v>
      </c>
    </row>
    <row r="26" spans="1:1" x14ac:dyDescent="0.2">
      <c r="A26" t="s">
        <v>321</v>
      </c>
    </row>
    <row r="27" spans="1:1" x14ac:dyDescent="0.2">
      <c r="A27" t="s">
        <v>324</v>
      </c>
    </row>
    <row r="28" spans="1:1" x14ac:dyDescent="0.2">
      <c r="A28" t="s">
        <v>322</v>
      </c>
    </row>
    <row r="29" spans="1:1" x14ac:dyDescent="0.2">
      <c r="A29" t="s">
        <v>325</v>
      </c>
    </row>
    <row r="30" spans="1:1" x14ac:dyDescent="0.2">
      <c r="A30" t="s">
        <v>323</v>
      </c>
    </row>
    <row r="31" spans="1:1" x14ac:dyDescent="0.2">
      <c r="A31" t="s">
        <v>438</v>
      </c>
    </row>
    <row r="32" spans="1:1" x14ac:dyDescent="0.2">
      <c r="A32" t="s">
        <v>326</v>
      </c>
    </row>
    <row r="33" spans="1:1" x14ac:dyDescent="0.2">
      <c r="A33" t="s">
        <v>327</v>
      </c>
    </row>
    <row r="34" spans="1:1" x14ac:dyDescent="0.2">
      <c r="A34" t="s">
        <v>328</v>
      </c>
    </row>
    <row r="35" spans="1:1" x14ac:dyDescent="0.2">
      <c r="A35" t="s">
        <v>329</v>
      </c>
    </row>
    <row r="36" spans="1:1" x14ac:dyDescent="0.2">
      <c r="A36" t="s">
        <v>330</v>
      </c>
    </row>
    <row r="37" spans="1:1" x14ac:dyDescent="0.2">
      <c r="A37" t="s">
        <v>331</v>
      </c>
    </row>
    <row r="38" spans="1:1" x14ac:dyDescent="0.2">
      <c r="A38" t="s">
        <v>332</v>
      </c>
    </row>
    <row r="39" spans="1:1" x14ac:dyDescent="0.2">
      <c r="A39" t="s">
        <v>333</v>
      </c>
    </row>
    <row r="40" spans="1:1" x14ac:dyDescent="0.2">
      <c r="A40" t="s">
        <v>334</v>
      </c>
    </row>
    <row r="41" spans="1:1" x14ac:dyDescent="0.2">
      <c r="A41" t="s">
        <v>335</v>
      </c>
    </row>
    <row r="42" spans="1:1" x14ac:dyDescent="0.2">
      <c r="A42" t="s">
        <v>337</v>
      </c>
    </row>
    <row r="43" spans="1:1" x14ac:dyDescent="0.2">
      <c r="A43" t="s">
        <v>336</v>
      </c>
    </row>
    <row r="44" spans="1:1" x14ac:dyDescent="0.2">
      <c r="A44" t="s">
        <v>338</v>
      </c>
    </row>
    <row r="45" spans="1:1" x14ac:dyDescent="0.2">
      <c r="A45" t="s">
        <v>339</v>
      </c>
    </row>
    <row r="46" spans="1:1" x14ac:dyDescent="0.2">
      <c r="A46" t="s">
        <v>340</v>
      </c>
    </row>
    <row r="47" spans="1:1" x14ac:dyDescent="0.2">
      <c r="A47" t="s">
        <v>341</v>
      </c>
    </row>
    <row r="48" spans="1:1" x14ac:dyDescent="0.2">
      <c r="A48" t="s">
        <v>342</v>
      </c>
    </row>
    <row r="49" spans="1:1" x14ac:dyDescent="0.2">
      <c r="A49" t="s">
        <v>343</v>
      </c>
    </row>
    <row r="50" spans="1:1" x14ac:dyDescent="0.2">
      <c r="A50" t="s">
        <v>344</v>
      </c>
    </row>
    <row r="51" spans="1:1" x14ac:dyDescent="0.2">
      <c r="A51" t="s">
        <v>345</v>
      </c>
    </row>
    <row r="52" spans="1:1" x14ac:dyDescent="0.2">
      <c r="A52" t="s">
        <v>346</v>
      </c>
    </row>
    <row r="53" spans="1:1" x14ac:dyDescent="0.2">
      <c r="A53" t="s">
        <v>347</v>
      </c>
    </row>
    <row r="54" spans="1:1" x14ac:dyDescent="0.2">
      <c r="A54" t="s">
        <v>348</v>
      </c>
    </row>
    <row r="55" spans="1:1" x14ac:dyDescent="0.2">
      <c r="A55" t="s">
        <v>349</v>
      </c>
    </row>
    <row r="56" spans="1:1" x14ac:dyDescent="0.2">
      <c r="A56" t="s">
        <v>350</v>
      </c>
    </row>
    <row r="57" spans="1:1" x14ac:dyDescent="0.2">
      <c r="A57" t="s">
        <v>351</v>
      </c>
    </row>
    <row r="58" spans="1:1" x14ac:dyDescent="0.2">
      <c r="A58" t="s">
        <v>352</v>
      </c>
    </row>
    <row r="59" spans="1:1" x14ac:dyDescent="0.2">
      <c r="A59" t="s">
        <v>353</v>
      </c>
    </row>
    <row r="60" spans="1:1" x14ac:dyDescent="0.2">
      <c r="A60" t="s">
        <v>354</v>
      </c>
    </row>
    <row r="61" spans="1:1" x14ac:dyDescent="0.2">
      <c r="A61" t="s">
        <v>355</v>
      </c>
    </row>
    <row r="62" spans="1:1" x14ac:dyDescent="0.2">
      <c r="A62" t="s">
        <v>356</v>
      </c>
    </row>
    <row r="63" spans="1:1" x14ac:dyDescent="0.2">
      <c r="A63" t="s">
        <v>357</v>
      </c>
    </row>
    <row r="64" spans="1:1" x14ac:dyDescent="0.2">
      <c r="A64" t="s">
        <v>358</v>
      </c>
    </row>
    <row r="65" spans="1:1" x14ac:dyDescent="0.2">
      <c r="A65" t="s">
        <v>359</v>
      </c>
    </row>
    <row r="66" spans="1:1" x14ac:dyDescent="0.2">
      <c r="A66" t="s">
        <v>360</v>
      </c>
    </row>
    <row r="67" spans="1:1" x14ac:dyDescent="0.2">
      <c r="A67" t="s">
        <v>361</v>
      </c>
    </row>
    <row r="68" spans="1:1" x14ac:dyDescent="0.2">
      <c r="A68" t="s">
        <v>362</v>
      </c>
    </row>
    <row r="69" spans="1:1" x14ac:dyDescent="0.2">
      <c r="A69" t="s">
        <v>363</v>
      </c>
    </row>
    <row r="70" spans="1:1" x14ac:dyDescent="0.2">
      <c r="A70" t="s">
        <v>364</v>
      </c>
    </row>
    <row r="71" spans="1:1" x14ac:dyDescent="0.2">
      <c r="A71" t="s">
        <v>365</v>
      </c>
    </row>
    <row r="72" spans="1:1" x14ac:dyDescent="0.2">
      <c r="A72" t="s">
        <v>366</v>
      </c>
    </row>
    <row r="73" spans="1:1" x14ac:dyDescent="0.2">
      <c r="A73" t="s">
        <v>367</v>
      </c>
    </row>
    <row r="74" spans="1:1" x14ac:dyDescent="0.2">
      <c r="A74" t="s">
        <v>368</v>
      </c>
    </row>
    <row r="75" spans="1:1" x14ac:dyDescent="0.2">
      <c r="A75" t="s">
        <v>369</v>
      </c>
    </row>
    <row r="76" spans="1:1" x14ac:dyDescent="0.2">
      <c r="A76" t="s">
        <v>370</v>
      </c>
    </row>
    <row r="77" spans="1:1" x14ac:dyDescent="0.2">
      <c r="A77" t="s">
        <v>371</v>
      </c>
    </row>
    <row r="78" spans="1:1" x14ac:dyDescent="0.2">
      <c r="A78" t="s">
        <v>372</v>
      </c>
    </row>
    <row r="79" spans="1:1" x14ac:dyDescent="0.2">
      <c r="A79" t="s">
        <v>373</v>
      </c>
    </row>
    <row r="80" spans="1:1" x14ac:dyDescent="0.2">
      <c r="A80" t="s">
        <v>374</v>
      </c>
    </row>
    <row r="81" spans="1:1" x14ac:dyDescent="0.2">
      <c r="A81" t="s">
        <v>375</v>
      </c>
    </row>
    <row r="82" spans="1:1" x14ac:dyDescent="0.2">
      <c r="A82" t="s">
        <v>376</v>
      </c>
    </row>
    <row r="83" spans="1:1" x14ac:dyDescent="0.2">
      <c r="A83" t="s">
        <v>377</v>
      </c>
    </row>
    <row r="84" spans="1:1" x14ac:dyDescent="0.2">
      <c r="A84" t="s">
        <v>378</v>
      </c>
    </row>
    <row r="85" spans="1:1" x14ac:dyDescent="0.2">
      <c r="A85" t="s">
        <v>379</v>
      </c>
    </row>
    <row r="86" spans="1:1" x14ac:dyDescent="0.2">
      <c r="A86" t="s">
        <v>381</v>
      </c>
    </row>
    <row r="87" spans="1:1" x14ac:dyDescent="0.2">
      <c r="A87" t="s">
        <v>382</v>
      </c>
    </row>
    <row r="88" spans="1:1" x14ac:dyDescent="0.2">
      <c r="A88" t="s">
        <v>380</v>
      </c>
    </row>
    <row r="89" spans="1:1" x14ac:dyDescent="0.2">
      <c r="A89" t="s">
        <v>383</v>
      </c>
    </row>
    <row r="90" spans="1:1" x14ac:dyDescent="0.2">
      <c r="A90" t="s">
        <v>384</v>
      </c>
    </row>
    <row r="91" spans="1:1" x14ac:dyDescent="0.2">
      <c r="A91" t="s">
        <v>385</v>
      </c>
    </row>
    <row r="92" spans="1:1" x14ac:dyDescent="0.2">
      <c r="A92" t="s">
        <v>386</v>
      </c>
    </row>
    <row r="93" spans="1:1" x14ac:dyDescent="0.2">
      <c r="A93" t="s">
        <v>387</v>
      </c>
    </row>
    <row r="94" spans="1:1" x14ac:dyDescent="0.2">
      <c r="A94" t="s">
        <v>388</v>
      </c>
    </row>
    <row r="95" spans="1:1" x14ac:dyDescent="0.2">
      <c r="A95" t="s">
        <v>389</v>
      </c>
    </row>
    <row r="96" spans="1:1" x14ac:dyDescent="0.2">
      <c r="A96" t="s">
        <v>390</v>
      </c>
    </row>
    <row r="97" spans="1:1" x14ac:dyDescent="0.2">
      <c r="A97" t="s">
        <v>391</v>
      </c>
    </row>
    <row r="98" spans="1:1" x14ac:dyDescent="0.2">
      <c r="A98" t="s">
        <v>392</v>
      </c>
    </row>
    <row r="99" spans="1:1" x14ac:dyDescent="0.2">
      <c r="A99" t="s">
        <v>393</v>
      </c>
    </row>
    <row r="100" spans="1:1" x14ac:dyDescent="0.2">
      <c r="A100" t="s">
        <v>394</v>
      </c>
    </row>
    <row r="101" spans="1:1" x14ac:dyDescent="0.2">
      <c r="A101" t="s">
        <v>395</v>
      </c>
    </row>
    <row r="102" spans="1:1" x14ac:dyDescent="0.2">
      <c r="A102" t="s">
        <v>396</v>
      </c>
    </row>
    <row r="103" spans="1:1" x14ac:dyDescent="0.2">
      <c r="A103" t="s">
        <v>397</v>
      </c>
    </row>
    <row r="104" spans="1:1" x14ac:dyDescent="0.2">
      <c r="A104" t="s">
        <v>398</v>
      </c>
    </row>
    <row r="105" spans="1:1" x14ac:dyDescent="0.2">
      <c r="A105" t="s">
        <v>399</v>
      </c>
    </row>
    <row r="106" spans="1:1" x14ac:dyDescent="0.2">
      <c r="A106" t="s">
        <v>400</v>
      </c>
    </row>
    <row r="107" spans="1:1" x14ac:dyDescent="0.2">
      <c r="A107" t="s">
        <v>401</v>
      </c>
    </row>
    <row r="108" spans="1:1" x14ac:dyDescent="0.2">
      <c r="A108" t="s">
        <v>402</v>
      </c>
    </row>
    <row r="109" spans="1:1" x14ac:dyDescent="0.2">
      <c r="A109" t="s">
        <v>403</v>
      </c>
    </row>
    <row r="110" spans="1:1" x14ac:dyDescent="0.2">
      <c r="A110" t="s">
        <v>404</v>
      </c>
    </row>
    <row r="111" spans="1:1" x14ac:dyDescent="0.2">
      <c r="A111" t="s">
        <v>405</v>
      </c>
    </row>
    <row r="112" spans="1:1" x14ac:dyDescent="0.2">
      <c r="A112" t="s">
        <v>406</v>
      </c>
    </row>
    <row r="113" spans="1:1" x14ac:dyDescent="0.2">
      <c r="A113" t="s">
        <v>407</v>
      </c>
    </row>
    <row r="114" spans="1:1" x14ac:dyDescent="0.2">
      <c r="A114" t="s">
        <v>408</v>
      </c>
    </row>
    <row r="115" spans="1:1" x14ac:dyDescent="0.2">
      <c r="A115" t="s">
        <v>409</v>
      </c>
    </row>
    <row r="116" spans="1:1" x14ac:dyDescent="0.2">
      <c r="A116" t="s">
        <v>410</v>
      </c>
    </row>
    <row r="117" spans="1:1" x14ac:dyDescent="0.2">
      <c r="A117" t="s">
        <v>411</v>
      </c>
    </row>
    <row r="118" spans="1:1" x14ac:dyDescent="0.2">
      <c r="A118" t="s">
        <v>412</v>
      </c>
    </row>
    <row r="119" spans="1:1" x14ac:dyDescent="0.2">
      <c r="A119" t="s">
        <v>413</v>
      </c>
    </row>
    <row r="120" spans="1:1" x14ac:dyDescent="0.2">
      <c r="A120" t="s">
        <v>414</v>
      </c>
    </row>
    <row r="121" spans="1:1" x14ac:dyDescent="0.2">
      <c r="A121" t="s">
        <v>415</v>
      </c>
    </row>
    <row r="122" spans="1:1" x14ac:dyDescent="0.2">
      <c r="A122" t="s">
        <v>416</v>
      </c>
    </row>
    <row r="123" spans="1:1" x14ac:dyDescent="0.2">
      <c r="A123" t="s">
        <v>417</v>
      </c>
    </row>
    <row r="124" spans="1:1" x14ac:dyDescent="0.2">
      <c r="A124" t="s">
        <v>418</v>
      </c>
    </row>
    <row r="125" spans="1:1" x14ac:dyDescent="0.2">
      <c r="A125" t="s">
        <v>419</v>
      </c>
    </row>
    <row r="126" spans="1:1" x14ac:dyDescent="0.2">
      <c r="A126" t="s">
        <v>420</v>
      </c>
    </row>
    <row r="127" spans="1:1" x14ac:dyDescent="0.2">
      <c r="A127" t="s">
        <v>421</v>
      </c>
    </row>
    <row r="128" spans="1:1" x14ac:dyDescent="0.2">
      <c r="A128" t="s">
        <v>422</v>
      </c>
    </row>
    <row r="129" spans="1:1" x14ac:dyDescent="0.2">
      <c r="A129" t="s">
        <v>423</v>
      </c>
    </row>
    <row r="130" spans="1:1" x14ac:dyDescent="0.2">
      <c r="A130" t="s">
        <v>425</v>
      </c>
    </row>
    <row r="131" spans="1:1" x14ac:dyDescent="0.2">
      <c r="A131" t="s">
        <v>424</v>
      </c>
    </row>
    <row r="132" spans="1:1" x14ac:dyDescent="0.2">
      <c r="A132" t="s">
        <v>428</v>
      </c>
    </row>
    <row r="133" spans="1:1" x14ac:dyDescent="0.2">
      <c r="A133" t="s">
        <v>426</v>
      </c>
    </row>
    <row r="134" spans="1:1" x14ac:dyDescent="0.2">
      <c r="A134" t="s">
        <v>427</v>
      </c>
    </row>
    <row r="135" spans="1:1" x14ac:dyDescent="0.2">
      <c r="A135" t="s">
        <v>429</v>
      </c>
    </row>
    <row r="136" spans="1:1" x14ac:dyDescent="0.2">
      <c r="A136" t="s">
        <v>430</v>
      </c>
    </row>
    <row r="137" spans="1:1" x14ac:dyDescent="0.2">
      <c r="A137" t="s">
        <v>431</v>
      </c>
    </row>
    <row r="138" spans="1:1" x14ac:dyDescent="0.2">
      <c r="A138" t="s">
        <v>432</v>
      </c>
    </row>
    <row r="139" spans="1:1" x14ac:dyDescent="0.2">
      <c r="A139" t="s">
        <v>433</v>
      </c>
    </row>
    <row r="140" spans="1:1" x14ac:dyDescent="0.2">
      <c r="A140" t="s">
        <v>434</v>
      </c>
    </row>
    <row r="141" spans="1:1" x14ac:dyDescent="0.2">
      <c r="A141" t="s">
        <v>435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DE12-06D3-DE48-9444-8601A6E70870}">
  <dimension ref="A1:EF55"/>
  <sheetViews>
    <sheetView tabSelected="1" workbookViewId="0">
      <pane xSplit="1" ySplit="1" topLeftCell="AH2" activePane="bottomRight" state="frozen"/>
      <selection pane="topRight" activeCell="B1" sqref="B1"/>
      <selection pane="bottomLeft" activeCell="A2" sqref="A2"/>
      <selection pane="bottomRight" activeCell="AU8" sqref="AU8"/>
    </sheetView>
  </sheetViews>
  <sheetFormatPr baseColWidth="10" defaultRowHeight="16" x14ac:dyDescent="0.2"/>
  <cols>
    <col min="1" max="1" width="21.1640625" customWidth="1"/>
    <col min="2" max="2" width="14.5" customWidth="1"/>
    <col min="3" max="8" width="11" bestFit="1" customWidth="1"/>
    <col min="9" max="10" width="11" customWidth="1"/>
    <col min="11" max="13" width="11" bestFit="1" customWidth="1"/>
    <col min="14" max="14" width="17.83203125" customWidth="1"/>
    <col min="15" max="15" width="16.83203125" customWidth="1"/>
    <col min="16" max="17" width="16.1640625" customWidth="1"/>
    <col min="18" max="18" width="11" bestFit="1" customWidth="1"/>
    <col min="19" max="19" width="17.6640625" customWidth="1"/>
    <col min="20" max="20" width="18.5" customWidth="1"/>
    <col min="21" max="21" width="17.6640625" bestFit="1" customWidth="1"/>
    <col min="22" max="22" width="11" bestFit="1" customWidth="1"/>
    <col min="23" max="23" width="11.1640625" bestFit="1" customWidth="1"/>
    <col min="24" max="24" width="11.6640625" bestFit="1" customWidth="1"/>
    <col min="25" max="25" width="18.5" customWidth="1"/>
    <col min="26" max="34" width="11" bestFit="1" customWidth="1"/>
    <col min="35" max="35" width="13.33203125" bestFit="1" customWidth="1"/>
    <col min="36" max="36" width="13.33203125" customWidth="1"/>
    <col min="37" max="40" width="11" bestFit="1" customWidth="1"/>
    <col min="41" max="41" width="11" customWidth="1"/>
    <col min="42" max="42" width="11" bestFit="1" customWidth="1"/>
    <col min="43" max="43" width="12.33203125" customWidth="1"/>
    <col min="44" max="45" width="11" bestFit="1" customWidth="1"/>
    <col min="46" max="46" width="20" customWidth="1"/>
    <col min="47" max="47" width="27.1640625" customWidth="1"/>
    <col min="48" max="48" width="16.5" customWidth="1"/>
    <col min="49" max="49" width="17.5" customWidth="1"/>
    <col min="50" max="59" width="11" bestFit="1" customWidth="1"/>
    <col min="60" max="60" width="15.1640625" customWidth="1"/>
    <col min="61" max="69" width="11" bestFit="1" customWidth="1"/>
    <col min="70" max="75" width="14" style="13" customWidth="1"/>
    <col min="76" max="76" width="19.6640625" style="13" customWidth="1"/>
    <col min="77" max="79" width="11" bestFit="1" customWidth="1"/>
    <col min="84" max="84" width="21" bestFit="1" customWidth="1"/>
    <col min="85" max="85" width="20.33203125" bestFit="1" customWidth="1"/>
    <col min="90" max="90" width="23.1640625" bestFit="1" customWidth="1"/>
  </cols>
  <sheetData>
    <row r="1" spans="1:136" x14ac:dyDescent="0.2">
      <c r="A1" t="s">
        <v>106</v>
      </c>
      <c r="B1" s="1" t="s">
        <v>268</v>
      </c>
      <c r="C1" s="1" t="s">
        <v>269</v>
      </c>
      <c r="D1" s="1" t="s">
        <v>270</v>
      </c>
      <c r="E1" s="1" t="s">
        <v>271</v>
      </c>
      <c r="F1" s="1" t="s">
        <v>272</v>
      </c>
      <c r="G1" s="1" t="s">
        <v>273</v>
      </c>
      <c r="H1" s="1" t="s">
        <v>274</v>
      </c>
      <c r="I1" s="1" t="s">
        <v>275</v>
      </c>
      <c r="J1" s="1" t="s">
        <v>276</v>
      </c>
      <c r="K1" s="1" t="s">
        <v>277</v>
      </c>
      <c r="L1" s="1" t="s">
        <v>278</v>
      </c>
      <c r="M1" s="1" t="s">
        <v>279</v>
      </c>
      <c r="N1" s="1" t="s">
        <v>69</v>
      </c>
      <c r="O1" s="1" t="s">
        <v>70</v>
      </c>
      <c r="P1" s="1" t="s">
        <v>71</v>
      </c>
      <c r="Q1" s="1" t="s">
        <v>67</v>
      </c>
      <c r="R1" s="1" t="s">
        <v>72</v>
      </c>
      <c r="S1" s="1" t="s">
        <v>280</v>
      </c>
      <c r="T1" s="1" t="s">
        <v>281</v>
      </c>
      <c r="U1" s="1" t="s">
        <v>282</v>
      </c>
      <c r="V1" s="1" t="s">
        <v>14</v>
      </c>
      <c r="W1" s="1" t="s">
        <v>86</v>
      </c>
      <c r="X1" s="1" t="s">
        <v>15</v>
      </c>
      <c r="Y1" s="1" t="s">
        <v>25</v>
      </c>
      <c r="Z1" s="1" t="s">
        <v>26</v>
      </c>
      <c r="AA1" s="1" t="s">
        <v>33</v>
      </c>
      <c r="AB1" s="1" t="s">
        <v>34</v>
      </c>
      <c r="AC1" s="1" t="s">
        <v>40</v>
      </c>
      <c r="AD1" s="1" t="s">
        <v>60</v>
      </c>
      <c r="AE1" s="1" t="s">
        <v>61</v>
      </c>
      <c r="AF1" s="1" t="s">
        <v>62</v>
      </c>
      <c r="AG1" s="1" t="s">
        <v>63</v>
      </c>
      <c r="AH1" s="1" t="s">
        <v>64</v>
      </c>
      <c r="AI1" s="1" t="s">
        <v>65</v>
      </c>
      <c r="AJ1" s="1" t="s">
        <v>249</v>
      </c>
      <c r="AK1" s="1" t="s">
        <v>22</v>
      </c>
      <c r="AL1" s="1" t="s">
        <v>35</v>
      </c>
      <c r="AM1" s="1" t="s">
        <v>38</v>
      </c>
      <c r="AN1" s="1" t="s">
        <v>143</v>
      </c>
      <c r="AO1" s="1" t="s">
        <v>283</v>
      </c>
      <c r="AP1" s="1" t="s">
        <v>50</v>
      </c>
      <c r="AQ1" s="1" t="s">
        <v>144</v>
      </c>
      <c r="AR1" s="1" t="s">
        <v>88</v>
      </c>
      <c r="AS1" s="1" t="s">
        <v>87</v>
      </c>
      <c r="AT1" s="1" t="s">
        <v>145</v>
      </c>
      <c r="AU1" s="1" t="s">
        <v>284</v>
      </c>
      <c r="AV1" s="1" t="s">
        <v>285</v>
      </c>
      <c r="AW1" s="1" t="s">
        <v>286</v>
      </c>
      <c r="AX1" s="1" t="s">
        <v>287</v>
      </c>
      <c r="AY1" s="1" t="s">
        <v>288</v>
      </c>
      <c r="AZ1" s="1" t="s">
        <v>289</v>
      </c>
      <c r="BA1" s="1" t="s">
        <v>290</v>
      </c>
      <c r="BB1" s="1" t="s">
        <v>291</v>
      </c>
      <c r="BC1" s="1" t="s">
        <v>292</v>
      </c>
      <c r="BD1" s="1" t="s">
        <v>293</v>
      </c>
      <c r="BE1" s="1" t="s">
        <v>294</v>
      </c>
      <c r="BF1" s="1" t="s">
        <v>295</v>
      </c>
      <c r="BG1" s="1" t="s">
        <v>85</v>
      </c>
      <c r="BH1" s="1" t="s">
        <v>155</v>
      </c>
      <c r="BI1" s="1" t="s">
        <v>156</v>
      </c>
      <c r="BJ1" s="1" t="s">
        <v>17</v>
      </c>
      <c r="BK1" s="1" t="s">
        <v>42</v>
      </c>
      <c r="BL1" s="1" t="s">
        <v>43</v>
      </c>
      <c r="BM1" s="1" t="s">
        <v>44</v>
      </c>
      <c r="BN1" s="1" t="s">
        <v>45</v>
      </c>
      <c r="BO1" s="1" t="s">
        <v>157</v>
      </c>
      <c r="BP1" s="1" t="s">
        <v>158</v>
      </c>
      <c r="BQ1" s="1" t="s">
        <v>159</v>
      </c>
      <c r="BR1" s="1" t="s">
        <v>68</v>
      </c>
      <c r="BS1" s="1" t="s">
        <v>160</v>
      </c>
      <c r="BT1" s="1" t="s">
        <v>161</v>
      </c>
      <c r="BU1" s="1" t="s">
        <v>73</v>
      </c>
      <c r="BV1" s="1" t="s">
        <v>162</v>
      </c>
      <c r="BW1" s="1" t="s">
        <v>163</v>
      </c>
      <c r="BX1" s="1" t="s">
        <v>164</v>
      </c>
      <c r="BY1" s="1" t="s">
        <v>165</v>
      </c>
      <c r="BZ1" s="1" t="s">
        <v>166</v>
      </c>
      <c r="CA1" s="1" t="s">
        <v>167</v>
      </c>
      <c r="CB1" s="1" t="s">
        <v>168</v>
      </c>
      <c r="CC1" s="1" t="s">
        <v>23</v>
      </c>
      <c r="CD1" s="1" t="s">
        <v>169</v>
      </c>
      <c r="CE1" s="1" t="s">
        <v>170</v>
      </c>
      <c r="CF1" s="1" t="s">
        <v>39</v>
      </c>
      <c r="CG1" s="1" t="s">
        <v>41</v>
      </c>
      <c r="CH1" s="1" t="s">
        <v>79</v>
      </c>
      <c r="CI1" s="1" t="s">
        <v>171</v>
      </c>
      <c r="CJ1" s="1" t="s">
        <v>172</v>
      </c>
      <c r="CK1" s="1" t="s">
        <v>76</v>
      </c>
      <c r="CL1" s="1" t="s">
        <v>173</v>
      </c>
      <c r="CM1" s="1" t="s">
        <v>174</v>
      </c>
      <c r="CN1" s="1" t="s">
        <v>22</v>
      </c>
      <c r="CO1" s="1" t="s">
        <v>175</v>
      </c>
      <c r="CP1" s="1" t="s">
        <v>176</v>
      </c>
      <c r="CQ1" s="1" t="s">
        <v>238</v>
      </c>
      <c r="CR1" s="1" t="s">
        <v>239</v>
      </c>
      <c r="CS1" s="1" t="s">
        <v>240</v>
      </c>
      <c r="CT1" s="1" t="s">
        <v>180</v>
      </c>
      <c r="CU1" s="1" t="s">
        <v>181</v>
      </c>
      <c r="CV1" s="1" t="s">
        <v>182</v>
      </c>
      <c r="CW1" s="1" t="s">
        <v>183</v>
      </c>
      <c r="CX1" s="1" t="s">
        <v>184</v>
      </c>
      <c r="CY1" s="1" t="s">
        <v>185</v>
      </c>
      <c r="CZ1" s="1" t="s">
        <v>186</v>
      </c>
      <c r="DA1" s="1" t="s">
        <v>187</v>
      </c>
      <c r="DB1" s="1" t="s">
        <v>188</v>
      </c>
      <c r="DC1" s="1" t="s">
        <v>189</v>
      </c>
      <c r="DD1" s="1" t="s">
        <v>190</v>
      </c>
      <c r="DE1" s="1" t="s">
        <v>191</v>
      </c>
      <c r="DF1" s="1" t="s">
        <v>80</v>
      </c>
      <c r="DG1" s="1" t="s">
        <v>77</v>
      </c>
      <c r="DH1" s="1" t="s">
        <v>78</v>
      </c>
      <c r="DI1" s="1" t="s">
        <v>81</v>
      </c>
      <c r="DJ1" s="1" t="s">
        <v>82</v>
      </c>
      <c r="DK1" s="1" t="s">
        <v>75</v>
      </c>
      <c r="DL1" s="1" t="s">
        <v>24</v>
      </c>
      <c r="DM1" s="1" t="s">
        <v>27</v>
      </c>
      <c r="DN1" s="1" t="s">
        <v>111</v>
      </c>
      <c r="DO1" s="1" t="s">
        <v>114</v>
      </c>
      <c r="DP1" s="1" t="s">
        <v>115</v>
      </c>
      <c r="DQ1" s="1" t="s">
        <v>130</v>
      </c>
      <c r="DR1" s="1" t="s">
        <v>131</v>
      </c>
      <c r="DS1" s="1" t="s">
        <v>132</v>
      </c>
      <c r="DT1" s="1" t="s">
        <v>133</v>
      </c>
      <c r="DU1" s="1" t="s">
        <v>217</v>
      </c>
      <c r="DV1" s="1" t="s">
        <v>218</v>
      </c>
      <c r="DW1" s="1" t="s">
        <v>219</v>
      </c>
      <c r="DX1" s="1" t="s">
        <v>220</v>
      </c>
      <c r="DY1" s="1" t="s">
        <v>221</v>
      </c>
      <c r="DZ1" s="1" t="s">
        <v>222</v>
      </c>
      <c r="EA1" s="1" t="s">
        <v>241</v>
      </c>
      <c r="EB1" s="1" t="s">
        <v>242</v>
      </c>
      <c r="EC1" s="1" t="s">
        <v>243</v>
      </c>
      <c r="ED1" s="1" t="s">
        <v>244</v>
      </c>
      <c r="EE1" s="1" t="s">
        <v>245</v>
      </c>
      <c r="EF1" s="1" t="s">
        <v>246</v>
      </c>
    </row>
    <row r="2" spans="1:136" x14ac:dyDescent="0.2">
      <c r="A2" t="s">
        <v>107</v>
      </c>
      <c r="B2">
        <v>17.9387787698377</v>
      </c>
      <c r="C2">
        <v>17.537212336001001</v>
      </c>
      <c r="D2">
        <v>18.321862042625099</v>
      </c>
      <c r="E2">
        <v>86.566381299119996</v>
      </c>
      <c r="F2">
        <v>80.642076303201307</v>
      </c>
      <c r="G2">
        <v>93.122774145943396</v>
      </c>
      <c r="H2">
        <v>4.7355433816270098</v>
      </c>
      <c r="I2">
        <v>4.04946114073178</v>
      </c>
      <c r="J2">
        <v>5.5423588617240398</v>
      </c>
      <c r="K2">
        <v>109.240703450585</v>
      </c>
      <c r="L2">
        <v>103.175675840914</v>
      </c>
      <c r="M2">
        <v>115.810039202452</v>
      </c>
      <c r="N2">
        <v>66.430697262164998</v>
      </c>
      <c r="O2" s="20">
        <v>58.6521126706049</v>
      </c>
      <c r="P2" s="20">
        <v>77.9994307193694</v>
      </c>
      <c r="Q2" s="20">
        <v>4.94838015511806</v>
      </c>
      <c r="R2">
        <v>7.4248657538986702</v>
      </c>
      <c r="S2" s="12">
        <v>188.04464662176599</v>
      </c>
      <c r="T2" s="6">
        <v>176.88793874586199</v>
      </c>
      <c r="U2" s="6">
        <v>201.73658425681</v>
      </c>
      <c r="V2" s="7">
        <v>1000</v>
      </c>
      <c r="W2" s="21">
        <v>6.2371522208282501E-2</v>
      </c>
      <c r="X2" s="21">
        <v>5.94645472151507</v>
      </c>
      <c r="Y2">
        <v>24.347999999999999</v>
      </c>
      <c r="Z2" s="7">
        <v>1952.04513368984</v>
      </c>
      <c r="AA2">
        <v>21637</v>
      </c>
      <c r="AB2">
        <v>81564</v>
      </c>
      <c r="AC2" s="6">
        <v>1.2</v>
      </c>
      <c r="AD2" t="s">
        <v>297</v>
      </c>
      <c r="AE2">
        <v>1276.962</v>
      </c>
      <c r="AF2">
        <v>627</v>
      </c>
      <c r="AG2">
        <v>299.74799999999999</v>
      </c>
      <c r="AH2">
        <v>706</v>
      </c>
      <c r="AI2" s="4">
        <v>331</v>
      </c>
      <c r="AJ2" s="4">
        <v>184.17699999999999</v>
      </c>
      <c r="AK2" s="4">
        <v>25.363644523736301</v>
      </c>
      <c r="AL2" s="6" t="s">
        <v>37</v>
      </c>
      <c r="AM2" s="11" t="s">
        <v>36</v>
      </c>
      <c r="AN2" s="12" t="s">
        <v>296</v>
      </c>
      <c r="AO2" s="12" t="s">
        <v>37</v>
      </c>
      <c r="AP2" s="12">
        <v>67970</v>
      </c>
      <c r="AQ2">
        <v>3.76982806433722</v>
      </c>
      <c r="AR2">
        <v>0.51503794724005403</v>
      </c>
      <c r="AS2">
        <v>3.2123700764391298E-2</v>
      </c>
      <c r="AT2" s="12">
        <v>1.9723607130994799E-3</v>
      </c>
      <c r="AU2" s="2">
        <f>B2/K2</f>
        <v>0.1642133216210229</v>
      </c>
      <c r="AV2" s="2">
        <f>E2/K2</f>
        <v>0.79243705473096182</v>
      </c>
      <c r="AW2" s="2">
        <v>7.5465881358595501E-3</v>
      </c>
      <c r="AX2" s="3">
        <v>9.1897356573559397E-3</v>
      </c>
      <c r="AY2" s="3">
        <v>8.7903170247517794E-3</v>
      </c>
      <c r="AZ2" s="3">
        <v>9.5707699871638106E-3</v>
      </c>
      <c r="BA2" s="3">
        <v>4.4346506033642999E-2</v>
      </c>
      <c r="BB2" s="3">
        <v>3.8453887524691199E-2</v>
      </c>
      <c r="BC2" s="3">
        <v>5.0867831635172202E-2</v>
      </c>
      <c r="BD2" s="3">
        <v>2.4259394928413799E-3</v>
      </c>
      <c r="BE2" s="3">
        <v>1.7435268023827501E-3</v>
      </c>
      <c r="BF2" s="3">
        <v>3.2284396738084102E-3</v>
      </c>
      <c r="BG2" s="3">
        <v>5.5962181183840297E-2</v>
      </c>
      <c r="BH2" s="3">
        <v>5.2855169207018701E-2</v>
      </c>
      <c r="BI2" s="3">
        <v>5.9327541768229103E-2</v>
      </c>
      <c r="BJ2" s="3">
        <v>9.6332120285721204E-2</v>
      </c>
      <c r="BK2" s="3">
        <v>-5.71539442575064E-3</v>
      </c>
      <c r="BL2" s="3">
        <v>7.0141501334870697E-3</v>
      </c>
      <c r="BM2" s="3">
        <v>9.0616725859970604E-2</v>
      </c>
      <c r="BN2" s="3">
        <v>0.10334627041920801</v>
      </c>
      <c r="BO2" s="3">
        <v>3.4031332634504599E-2</v>
      </c>
      <c r="BP2" s="3">
        <v>3.0046494140091001E-2</v>
      </c>
      <c r="BQ2" s="3">
        <v>3.9957800858800602E-2</v>
      </c>
      <c r="BR2" s="3">
        <v>2.5349722041336301E-3</v>
      </c>
      <c r="BS2" s="3">
        <v>2.1686161325214699E-3</v>
      </c>
      <c r="BT2" s="3">
        <v>2.9349755258008198E-3</v>
      </c>
      <c r="BU2" s="3">
        <v>3.8036342632426102E-3</v>
      </c>
      <c r="BV2" s="3">
        <v>3.1189800958589401E-3</v>
      </c>
      <c r="BW2" s="3">
        <v>4.4882884306262699E-3</v>
      </c>
      <c r="BX2" s="3">
        <v>4.0369939101880803E-2</v>
      </c>
      <c r="BY2" s="3">
        <v>3.5722548549067798E-2</v>
      </c>
      <c r="BZ2" s="3">
        <v>4.7037131594571201E-2</v>
      </c>
      <c r="CA2" t="s">
        <v>297</v>
      </c>
      <c r="CB2" s="3">
        <v>1.8787141385905499E-2</v>
      </c>
      <c r="CC2">
        <v>0.76504822733448896</v>
      </c>
      <c r="CD2">
        <v>18030</v>
      </c>
      <c r="CE2">
        <v>3.4775374376039898E-2</v>
      </c>
      <c r="CF2" s="5">
        <v>1.38534917040255E-2</v>
      </c>
      <c r="CG2" s="5">
        <v>1.6624958402662201E-2</v>
      </c>
      <c r="CH2" s="13">
        <v>152.99707856128501</v>
      </c>
      <c r="CI2" s="13">
        <v>145.21849396972499</v>
      </c>
      <c r="CJ2" s="12">
        <v>164.565812018489</v>
      </c>
      <c r="CK2" s="13">
        <v>157.94545871640301</v>
      </c>
      <c r="CL2" s="13">
        <v>149.45173053805499</v>
      </c>
      <c r="CM2">
        <v>170.295016711128</v>
      </c>
      <c r="CN2">
        <v>25.363644523736301</v>
      </c>
      <c r="CO2">
        <v>23.625602254197901</v>
      </c>
      <c r="CP2">
        <v>27.083203632225501</v>
      </c>
      <c r="CQ2" t="s">
        <v>66</v>
      </c>
      <c r="CR2" t="s">
        <v>66</v>
      </c>
      <c r="CS2" t="s">
        <v>66</v>
      </c>
      <c r="CT2">
        <v>18.533637234227701</v>
      </c>
      <c r="CU2">
        <v>15.035303151776001</v>
      </c>
      <c r="CV2">
        <v>27.374748629440699</v>
      </c>
      <c r="CW2">
        <v>7.2517352732191203</v>
      </c>
      <c r="CX2">
        <v>6.0661008253017004</v>
      </c>
      <c r="CY2">
        <v>8.6236383035336495</v>
      </c>
      <c r="CZ2">
        <v>3.7354098111038998</v>
      </c>
      <c r="DA2">
        <v>2.9033644883377399</v>
      </c>
      <c r="DB2">
        <v>5.0994945942919703</v>
      </c>
      <c r="DC2">
        <v>0</v>
      </c>
      <c r="DD2">
        <v>0</v>
      </c>
      <c r="DE2">
        <v>0</v>
      </c>
      <c r="DF2">
        <v>0.81361973178124203</v>
      </c>
      <c r="DG2">
        <v>0.83993488139699801</v>
      </c>
      <c r="DH2">
        <v>0.134882031815174</v>
      </c>
      <c r="DI2">
        <v>0.419068368878248</v>
      </c>
      <c r="DJ2">
        <v>0.35326831356136001</v>
      </c>
      <c r="DK2">
        <v>109.240703450585</v>
      </c>
      <c r="DL2">
        <v>4.6588482753144902</v>
      </c>
      <c r="DM2">
        <v>0.108266507692171</v>
      </c>
      <c r="DN2">
        <v>1.24781772796976E-2</v>
      </c>
      <c r="DO2">
        <v>0.9</v>
      </c>
      <c r="DP2">
        <v>17.326203208556102</v>
      </c>
      <c r="DQ2">
        <v>7.2808104889940398E-2</v>
      </c>
      <c r="DR2">
        <v>-5.9332817988643698E-2</v>
      </c>
      <c r="DS2" s="3">
        <v>2.5183086787827599E-2</v>
      </c>
      <c r="DT2" s="3">
        <v>2.0380615288106099E-2</v>
      </c>
      <c r="DU2" s="3">
        <v>1.2012076270968E-2</v>
      </c>
      <c r="DV2" s="3">
        <v>1.1658229702233999E-2</v>
      </c>
      <c r="DW2" s="3">
        <v>1.2498427309278901E-2</v>
      </c>
      <c r="DX2" s="5">
        <v>7.2701047721023199E-3</v>
      </c>
      <c r="DY2" s="5">
        <v>8.2075578234694704E-3</v>
      </c>
      <c r="DZ2" s="5">
        <v>6.3326517207351702E-3</v>
      </c>
      <c r="EA2">
        <v>86.636049291848494</v>
      </c>
      <c r="EB2">
        <v>80.716950154905504</v>
      </c>
      <c r="EC2">
        <v>93.193037676902904</v>
      </c>
      <c r="ED2">
        <v>66.430697262164998</v>
      </c>
      <c r="EE2">
        <v>66.430697262164998</v>
      </c>
      <c r="EF2">
        <v>66.430697262164998</v>
      </c>
    </row>
    <row r="3" spans="1:136" x14ac:dyDescent="0.2">
      <c r="A3" t="s">
        <v>90</v>
      </c>
      <c r="B3">
        <v>69.580027425362502</v>
      </c>
      <c r="C3">
        <v>68.519378436271197</v>
      </c>
      <c r="D3">
        <v>70.901878656544298</v>
      </c>
      <c r="E3">
        <v>236.16160643099099</v>
      </c>
      <c r="F3">
        <v>226.64773939622401</v>
      </c>
      <c r="G3">
        <v>245.90585757129699</v>
      </c>
      <c r="H3">
        <v>0</v>
      </c>
      <c r="I3">
        <v>0</v>
      </c>
      <c r="J3">
        <v>0</v>
      </c>
      <c r="K3">
        <v>305.74163385635399</v>
      </c>
      <c r="L3">
        <v>296.00790292367498</v>
      </c>
      <c r="M3">
        <v>315.64347476830602</v>
      </c>
      <c r="N3">
        <v>212.41876865617601</v>
      </c>
      <c r="O3" s="20">
        <v>199.59987192859299</v>
      </c>
      <c r="P3" s="20">
        <v>226.531750440199</v>
      </c>
      <c r="Q3" s="20">
        <v>0</v>
      </c>
      <c r="R3">
        <v>38.281726508560197</v>
      </c>
      <c r="S3" s="12">
        <v>556.44212902108995</v>
      </c>
      <c r="T3" s="6">
        <v>534.24524273341501</v>
      </c>
      <c r="U3" s="6">
        <v>580.31292176606496</v>
      </c>
      <c r="V3" s="7">
        <v>1000</v>
      </c>
      <c r="W3" s="21">
        <v>3.07522212848487E-2</v>
      </c>
      <c r="X3" s="21">
        <v>15.0295249</v>
      </c>
      <c r="Y3" s="8">
        <v>59.991999999999997</v>
      </c>
      <c r="Z3" s="7">
        <v>10526.8147291444</v>
      </c>
      <c r="AA3" s="7">
        <v>84570</v>
      </c>
      <c r="AB3" s="7">
        <v>326908</v>
      </c>
      <c r="AC3" s="6">
        <v>1.82507693639206</v>
      </c>
      <c r="AD3">
        <v>1749</v>
      </c>
      <c r="AE3">
        <v>1644.3030000000001</v>
      </c>
      <c r="AF3">
        <v>1054</v>
      </c>
      <c r="AG3">
        <v>483.45</v>
      </c>
      <c r="AH3">
        <v>1272</v>
      </c>
      <c r="AI3" s="4">
        <v>679</v>
      </c>
      <c r="AJ3" s="4">
        <v>374.74900000000002</v>
      </c>
      <c r="AK3" s="4">
        <v>107.861753933923</v>
      </c>
      <c r="AL3" s="6" t="s">
        <v>37</v>
      </c>
      <c r="AM3" s="11" t="s">
        <v>36</v>
      </c>
      <c r="AN3" s="12" t="s">
        <v>296</v>
      </c>
      <c r="AO3" s="12" t="s">
        <v>37</v>
      </c>
      <c r="AP3" s="12">
        <v>179120</v>
      </c>
      <c r="AQ3">
        <v>3.8655933703088201</v>
      </c>
      <c r="AR3">
        <v>0.50861822288460201</v>
      </c>
      <c r="AS3">
        <v>1.56411401396538E-2</v>
      </c>
      <c r="AT3" s="12">
        <v>9.7247062369631499E-4</v>
      </c>
      <c r="AU3" s="2">
        <f t="shared" ref="AU3:AU20" si="0">B3/K3</f>
        <v>0.2275778622222355</v>
      </c>
      <c r="AV3" s="2">
        <f t="shared" ref="AV3:AV20" si="1">E3/K3</f>
        <v>0.77242213777776292</v>
      </c>
      <c r="AW3" s="2">
        <v>0</v>
      </c>
      <c r="AX3" s="3">
        <v>6.6097893062299498E-3</v>
      </c>
      <c r="AY3" s="3">
        <v>6.4116900765368101E-3</v>
      </c>
      <c r="AZ3" s="3">
        <v>6.8566737263908301E-3</v>
      </c>
      <c r="BA3" s="3">
        <v>2.2434289242039902E-2</v>
      </c>
      <c r="BB3" s="3">
        <v>2.0657367988756201E-2</v>
      </c>
      <c r="BC3" s="3">
        <v>2.4254239729603999E-2</v>
      </c>
      <c r="BD3" s="3">
        <v>0</v>
      </c>
      <c r="BE3" s="3">
        <v>0</v>
      </c>
      <c r="BF3" s="3">
        <v>0</v>
      </c>
      <c r="BG3" s="3">
        <v>2.9044078548269899E-2</v>
      </c>
      <c r="BH3" s="3">
        <v>2.81194179379021E-2</v>
      </c>
      <c r="BI3" s="3">
        <v>2.99847088497169E-2</v>
      </c>
      <c r="BJ3" s="3">
        <v>5.2859496755512603E-2</v>
      </c>
      <c r="BK3" s="3">
        <v>-2.1086042510295899E-3</v>
      </c>
      <c r="BL3" s="3">
        <v>2.2676178273459001E-3</v>
      </c>
      <c r="BM3" s="3">
        <v>5.0750892504483003E-2</v>
      </c>
      <c r="BN3" s="3">
        <v>5.5127114582858502E-2</v>
      </c>
      <c r="BO3" s="3">
        <v>2.0178826560714201E-2</v>
      </c>
      <c r="BP3" s="3">
        <v>1.8961089091459299E-2</v>
      </c>
      <c r="BQ3" s="3">
        <v>2.1519496283431899E-2</v>
      </c>
      <c r="BR3" s="3">
        <v>0</v>
      </c>
      <c r="BS3" s="3">
        <v>0</v>
      </c>
      <c r="BT3" s="3">
        <v>0</v>
      </c>
      <c r="BU3" s="3">
        <v>3.6365916465285501E-3</v>
      </c>
      <c r="BV3" s="3">
        <v>2.9820051501534099E-3</v>
      </c>
      <c r="BW3" s="3">
        <v>4.2911781429036903E-3</v>
      </c>
      <c r="BX3" s="3">
        <v>2.38154182072427E-2</v>
      </c>
      <c r="BY3" s="3">
        <v>2.1943094241612799E-2</v>
      </c>
      <c r="BZ3" s="3">
        <v>2.5810674426335601E-2</v>
      </c>
      <c r="CA3">
        <v>9.7644037516748591E-3</v>
      </c>
      <c r="CB3" s="3">
        <v>9.1798961589995495E-3</v>
      </c>
      <c r="CC3">
        <v>0.83068004230001502</v>
      </c>
      <c r="CD3">
        <v>46337</v>
      </c>
      <c r="CE3">
        <v>2.2746401363920799E-2</v>
      </c>
      <c r="CF3" s="5">
        <v>5.7165661582121302E-3</v>
      </c>
      <c r="CG3" s="5">
        <v>1.0433347001316399E-2</v>
      </c>
      <c r="CH3" s="13">
        <v>448.580375087167</v>
      </c>
      <c r="CI3" s="13">
        <v>435.76147835958398</v>
      </c>
      <c r="CJ3" s="12">
        <v>462.69335687119002</v>
      </c>
      <c r="CK3" s="13">
        <v>448.580375087167</v>
      </c>
      <c r="CL3" s="13">
        <v>435.76147835958398</v>
      </c>
      <c r="CM3">
        <v>462.69335687119002</v>
      </c>
      <c r="CN3">
        <v>107.861753933923</v>
      </c>
      <c r="CO3">
        <v>99.910394173290499</v>
      </c>
      <c r="CP3">
        <v>116.07431593664499</v>
      </c>
      <c r="CQ3" t="s">
        <v>66</v>
      </c>
      <c r="CR3" t="s">
        <v>66</v>
      </c>
      <c r="CS3" t="s">
        <v>66</v>
      </c>
      <c r="CT3">
        <v>102.22472975621</v>
      </c>
      <c r="CU3">
        <v>96.187212435309903</v>
      </c>
      <c r="CV3">
        <v>108.963593700072</v>
      </c>
      <c r="CW3">
        <v>80.676629585215906</v>
      </c>
      <c r="CX3">
        <v>74.185840208996794</v>
      </c>
      <c r="CY3">
        <v>88.813900697648705</v>
      </c>
      <c r="CZ3">
        <v>29.517409314749798</v>
      </c>
      <c r="DA3">
        <v>21.7266461819599</v>
      </c>
      <c r="DB3">
        <v>40.249460072842098</v>
      </c>
      <c r="DC3">
        <v>0</v>
      </c>
      <c r="DD3">
        <v>0</v>
      </c>
      <c r="DE3">
        <v>0</v>
      </c>
      <c r="DF3">
        <v>0.80615798805739203</v>
      </c>
      <c r="DG3">
        <v>0.80615798805739203</v>
      </c>
      <c r="DH3">
        <v>0.193842011942608</v>
      </c>
      <c r="DI3">
        <v>0.45054170161114598</v>
      </c>
      <c r="DJ3">
        <v>0.381744337245702</v>
      </c>
      <c r="DK3">
        <v>305.74163385635399</v>
      </c>
      <c r="DL3">
        <v>3.6500973949926698</v>
      </c>
      <c r="DM3">
        <v>0.227179461966558</v>
      </c>
      <c r="DN3">
        <v>1.14918517480515E-2</v>
      </c>
      <c r="DO3">
        <v>0.9</v>
      </c>
      <c r="DP3">
        <v>17.326203208556102</v>
      </c>
      <c r="DQ3">
        <v>4.2899306328618797E-2</v>
      </c>
      <c r="DR3">
        <v>-3.9889736128165501E-2</v>
      </c>
      <c r="DS3" s="3">
        <v>0</v>
      </c>
      <c r="DT3" s="3">
        <v>0</v>
      </c>
      <c r="DU3" s="3">
        <v>7.9571138458237201E-3</v>
      </c>
      <c r="DV3" s="3">
        <v>7.7886364519311703E-3</v>
      </c>
      <c r="DW3" s="3">
        <v>8.1416008148328198E-3</v>
      </c>
      <c r="DX3" s="5">
        <v>6.5124999847487302E-3</v>
      </c>
      <c r="DY3" s="5">
        <v>7.4087833021432301E-3</v>
      </c>
      <c r="DZ3" s="5">
        <v>5.6162166673542303E-3</v>
      </c>
      <c r="EA3">
        <v>236.70486906988299</v>
      </c>
      <c r="EB3">
        <v>227.20280761415199</v>
      </c>
      <c r="EC3">
        <v>246.435521226807</v>
      </c>
      <c r="ED3">
        <v>212.41876865617601</v>
      </c>
      <c r="EE3">
        <v>212.41876865617601</v>
      </c>
      <c r="EF3">
        <v>212.41876865617601</v>
      </c>
    </row>
    <row r="4" spans="1:136" x14ac:dyDescent="0.2">
      <c r="A4" t="s">
        <v>91</v>
      </c>
      <c r="B4">
        <v>22.418626915636299</v>
      </c>
      <c r="C4">
        <v>21.540580224636901</v>
      </c>
      <c r="D4">
        <v>23.361923006833202</v>
      </c>
      <c r="E4">
        <v>35.0696102944842</v>
      </c>
      <c r="F4">
        <v>31.834883939019001</v>
      </c>
      <c r="G4">
        <v>38.466000785507099</v>
      </c>
      <c r="H4">
        <v>0</v>
      </c>
      <c r="I4">
        <v>0</v>
      </c>
      <c r="J4">
        <v>0</v>
      </c>
      <c r="K4">
        <v>57.488237210120602</v>
      </c>
      <c r="L4">
        <v>54.024138275803999</v>
      </c>
      <c r="M4">
        <v>60.921671756755103</v>
      </c>
      <c r="N4">
        <v>60.225576398918001</v>
      </c>
      <c r="O4" s="20">
        <v>53.956926930104302</v>
      </c>
      <c r="P4" s="20">
        <v>67.8292677322233</v>
      </c>
      <c r="Q4" s="20">
        <v>0</v>
      </c>
      <c r="R4">
        <v>16.3695421682262</v>
      </c>
      <c r="S4" s="12">
        <v>134.08335577726501</v>
      </c>
      <c r="T4" s="6">
        <v>123.91983483643</v>
      </c>
      <c r="U4" s="6">
        <v>145.34293707249401</v>
      </c>
      <c r="V4" s="7">
        <v>1000</v>
      </c>
      <c r="W4" s="21">
        <v>5.22822986937043E-2</v>
      </c>
      <c r="X4" s="21">
        <v>8.0919112099999992</v>
      </c>
      <c r="Y4" s="8">
        <v>82.191999999999993</v>
      </c>
      <c r="Z4" s="7">
        <v>4766.5263912834198</v>
      </c>
      <c r="AA4" s="7">
        <v>17120</v>
      </c>
      <c r="AB4" s="7">
        <v>48890</v>
      </c>
      <c r="AC4" s="6">
        <v>1.82507693639206</v>
      </c>
      <c r="AD4">
        <v>284</v>
      </c>
      <c r="AE4">
        <v>247.56</v>
      </c>
      <c r="AF4">
        <v>239</v>
      </c>
      <c r="AG4">
        <v>101.175</v>
      </c>
      <c r="AH4">
        <v>316</v>
      </c>
      <c r="AI4" s="4">
        <v>233</v>
      </c>
      <c r="AJ4" s="4">
        <v>121.254</v>
      </c>
      <c r="AK4" s="4">
        <v>38.788169083862499</v>
      </c>
      <c r="AL4" s="6" t="s">
        <v>37</v>
      </c>
      <c r="AM4" s="11" t="s">
        <v>36</v>
      </c>
      <c r="AN4" s="12" t="s">
        <v>296</v>
      </c>
      <c r="AO4" s="12" t="s">
        <v>37</v>
      </c>
      <c r="AP4" s="12">
        <v>26787</v>
      </c>
      <c r="AQ4">
        <v>2.85575692963753</v>
      </c>
      <c r="AR4">
        <v>0.59175151754216704</v>
      </c>
      <c r="AS4">
        <v>3.09381295925924E-2</v>
      </c>
      <c r="AT4" s="12">
        <v>1.65331145181351E-3</v>
      </c>
      <c r="AU4" s="2">
        <f t="shared" si="0"/>
        <v>0.38996893979712388</v>
      </c>
      <c r="AV4" s="2">
        <f t="shared" si="1"/>
        <v>0.61003106020287434</v>
      </c>
      <c r="AW4" s="2">
        <v>0</v>
      </c>
      <c r="AX4" s="3">
        <v>4.7033468558221898E-3</v>
      </c>
      <c r="AY4" s="3">
        <v>4.3920489290986799E-3</v>
      </c>
      <c r="AZ4" s="3">
        <v>5.0377779521249303E-3</v>
      </c>
      <c r="BA4" s="3">
        <v>7.3574774197445398E-3</v>
      </c>
      <c r="BB4" s="3">
        <v>6.2106550260197096E-3</v>
      </c>
      <c r="BC4" s="3">
        <v>8.5616153420631294E-3</v>
      </c>
      <c r="BD4" s="3">
        <v>0</v>
      </c>
      <c r="BE4" s="3">
        <v>0</v>
      </c>
      <c r="BF4" s="3">
        <v>0</v>
      </c>
      <c r="BG4" s="3">
        <v>1.2060824275566699E-2</v>
      </c>
      <c r="BH4" s="3">
        <v>1.13340688461514E-2</v>
      </c>
      <c r="BI4" s="3">
        <v>1.2781146427336101E-2</v>
      </c>
      <c r="BJ4" s="3">
        <v>2.8130203164817E-2</v>
      </c>
      <c r="BK4" s="3">
        <v>-2.1322699396819299E-3</v>
      </c>
      <c r="BL4" s="3">
        <v>2.3622194384194401E-3</v>
      </c>
      <c r="BM4" s="3">
        <v>2.5997933225135099E-2</v>
      </c>
      <c r="BN4" s="3">
        <v>3.04924226032364E-2</v>
      </c>
      <c r="BO4" s="3">
        <v>1.26351081385079E-2</v>
      </c>
      <c r="BP4" s="3">
        <v>1.13199681488758E-2</v>
      </c>
      <c r="BQ4" s="3">
        <v>1.4230335083481999E-2</v>
      </c>
      <c r="BR4" s="3">
        <v>0</v>
      </c>
      <c r="BS4" s="3">
        <v>0</v>
      </c>
      <c r="BT4" s="3">
        <v>0</v>
      </c>
      <c r="BU4" s="3">
        <v>3.4342707507423499E-3</v>
      </c>
      <c r="BV4" s="3">
        <v>2.81610201560873E-3</v>
      </c>
      <c r="BW4" s="3">
        <v>4.0524394858759798E-3</v>
      </c>
      <c r="BX4" s="3">
        <v>1.6069378889250301E-2</v>
      </c>
      <c r="BY4" s="3">
        <v>1.41360701644845E-2</v>
      </c>
      <c r="BZ4" s="3">
        <v>1.8282774569358E-2</v>
      </c>
      <c r="CA4">
        <v>1.0602157763094E-2</v>
      </c>
      <c r="CB4" s="3">
        <v>9.2417963937730992E-3</v>
      </c>
      <c r="CC4">
        <v>0.82852318345338405</v>
      </c>
      <c r="CD4">
        <v>9380</v>
      </c>
      <c r="CE4">
        <v>2.5479744136460598E-2</v>
      </c>
      <c r="CF4" s="5">
        <v>5.9097546728972003E-3</v>
      </c>
      <c r="CG4" s="5">
        <v>1.0786247334754801E-2</v>
      </c>
      <c r="CH4" s="13">
        <v>95.295186693402101</v>
      </c>
      <c r="CI4" s="13">
        <v>89.026537224588495</v>
      </c>
      <c r="CJ4" s="12">
        <v>102.898878026708</v>
      </c>
      <c r="CK4" s="13">
        <v>95.295186693402101</v>
      </c>
      <c r="CL4" s="13">
        <v>89.026537224588495</v>
      </c>
      <c r="CM4">
        <v>102.898878026708</v>
      </c>
      <c r="CN4">
        <v>38.788169083862499</v>
      </c>
      <c r="CO4">
        <v>34.963604802582303</v>
      </c>
      <c r="CP4">
        <v>42.677982765340097</v>
      </c>
      <c r="CQ4" t="s">
        <v>66</v>
      </c>
      <c r="CR4" t="s">
        <v>66</v>
      </c>
      <c r="CS4" t="s">
        <v>66</v>
      </c>
      <c r="CT4">
        <v>17.601996478531898</v>
      </c>
      <c r="CU4">
        <v>13.2275503386655</v>
      </c>
      <c r="CV4">
        <v>22.9274953649407</v>
      </c>
      <c r="CW4">
        <v>33.473177393204303</v>
      </c>
      <c r="CX4">
        <v>29.5474489308247</v>
      </c>
      <c r="CY4">
        <v>37.755433929572597</v>
      </c>
      <c r="CZ4">
        <v>9.0609697066610195</v>
      </c>
      <c r="DA4">
        <v>6.6539509192102901</v>
      </c>
      <c r="DB4">
        <v>11.686924094816201</v>
      </c>
      <c r="DC4">
        <v>8.9432820520719894E-2</v>
      </c>
      <c r="DD4">
        <v>3.6510813259507599E-2</v>
      </c>
      <c r="DE4">
        <v>0.31173621506627303</v>
      </c>
      <c r="DF4">
        <v>0.71071586533741504</v>
      </c>
      <c r="DG4">
        <v>0.71071586533741504</v>
      </c>
      <c r="DH4">
        <v>0.28928413466258501</v>
      </c>
      <c r="DI4">
        <v>0.57124988950481703</v>
      </c>
      <c r="DJ4">
        <v>0.44916475073154799</v>
      </c>
      <c r="DK4">
        <v>57.488237210120602</v>
      </c>
      <c r="DL4">
        <v>2.1245893209675102</v>
      </c>
      <c r="DM4">
        <v>0.50815846388949104</v>
      </c>
      <c r="DN4">
        <v>1.06611193281389E-2</v>
      </c>
      <c r="DO4">
        <v>0.9</v>
      </c>
      <c r="DP4">
        <v>17.326203208556102</v>
      </c>
      <c r="DQ4">
        <v>8.3975556237571705E-2</v>
      </c>
      <c r="DR4">
        <v>-7.5795090336508206E-2</v>
      </c>
      <c r="DS4" s="3">
        <v>0</v>
      </c>
      <c r="DT4" s="3">
        <v>0</v>
      </c>
      <c r="DU4" s="3">
        <v>5.6768083642528503E-3</v>
      </c>
      <c r="DV4" s="3">
        <v>5.4097277126096601E-3</v>
      </c>
      <c r="DW4" s="3">
        <v>5.9965985167968602E-3</v>
      </c>
      <c r="DX4" s="5">
        <v>5.9587925946185498E-3</v>
      </c>
      <c r="DY4" s="5">
        <v>6.80521140665222E-3</v>
      </c>
      <c r="DZ4" s="5">
        <v>5.1123737825848796E-3</v>
      </c>
      <c r="EA4">
        <v>35.573971148814699</v>
      </c>
      <c r="EB4">
        <v>32.328174134087398</v>
      </c>
      <c r="EC4">
        <v>38.957863295304698</v>
      </c>
      <c r="ED4">
        <v>60.225576398918001</v>
      </c>
      <c r="EE4">
        <v>60.225576398918001</v>
      </c>
      <c r="EF4">
        <v>60.225576398918001</v>
      </c>
    </row>
    <row r="5" spans="1:136" x14ac:dyDescent="0.2">
      <c r="A5" t="s">
        <v>93</v>
      </c>
      <c r="B5">
        <v>27.934123189380799</v>
      </c>
      <c r="C5">
        <v>27.216175888418</v>
      </c>
      <c r="D5">
        <v>28.7261774760448</v>
      </c>
      <c r="E5">
        <v>37.160025644742397</v>
      </c>
      <c r="F5">
        <v>34.012259145052901</v>
      </c>
      <c r="G5">
        <v>40.762671614293197</v>
      </c>
      <c r="H5">
        <v>0</v>
      </c>
      <c r="I5">
        <v>0</v>
      </c>
      <c r="J5">
        <v>0</v>
      </c>
      <c r="K5">
        <v>65.094148834123203</v>
      </c>
      <c r="L5">
        <v>61.848883942101097</v>
      </c>
      <c r="M5">
        <v>68.769617122928096</v>
      </c>
      <c r="N5">
        <v>45.082799896385701</v>
      </c>
      <c r="O5" s="20">
        <v>41.187587874731001</v>
      </c>
      <c r="P5" s="20">
        <v>49.250154258698302</v>
      </c>
      <c r="Q5" s="20">
        <v>0</v>
      </c>
      <c r="R5">
        <v>20.4353866558872</v>
      </c>
      <c r="S5" s="12">
        <v>130.61233538639601</v>
      </c>
      <c r="T5" s="6">
        <v>121.885365143709</v>
      </c>
      <c r="U5" s="6">
        <v>139.57284995392601</v>
      </c>
      <c r="V5" s="7">
        <v>1000</v>
      </c>
      <c r="W5" s="21">
        <v>4.75317262249925E-2</v>
      </c>
      <c r="X5" s="21">
        <v>11.8134085</v>
      </c>
      <c r="Y5" s="8">
        <v>68.158000000000001</v>
      </c>
      <c r="Z5" s="7">
        <v>5950.4296949999998</v>
      </c>
      <c r="AA5" s="7">
        <v>19040</v>
      </c>
      <c r="AB5" s="7">
        <v>91907</v>
      </c>
      <c r="AC5" s="6">
        <v>1.82507693639206</v>
      </c>
      <c r="AD5">
        <v>416</v>
      </c>
      <c r="AE5">
        <v>360.72300000000001</v>
      </c>
      <c r="AF5">
        <v>296</v>
      </c>
      <c r="AG5">
        <v>124.72799999999999</v>
      </c>
      <c r="AH5">
        <v>477</v>
      </c>
      <c r="AI5" s="4">
        <v>232</v>
      </c>
      <c r="AJ5" s="4">
        <v>125.09399999999999</v>
      </c>
      <c r="AK5" s="4">
        <v>48.369509845267999</v>
      </c>
      <c r="AL5" s="6" t="s">
        <v>37</v>
      </c>
      <c r="AM5" s="11" t="s">
        <v>36</v>
      </c>
      <c r="AN5" s="12" t="s">
        <v>296</v>
      </c>
      <c r="AO5" s="12" t="s">
        <v>37</v>
      </c>
      <c r="AP5" s="12">
        <v>50357</v>
      </c>
      <c r="AQ5">
        <v>4.82716641104295</v>
      </c>
      <c r="AR5">
        <v>0.45514928471695798</v>
      </c>
      <c r="AS5">
        <v>2.1634031192667599E-2</v>
      </c>
      <c r="AT5" s="12">
        <v>1.50308515990533E-3</v>
      </c>
      <c r="AU5" s="2">
        <f t="shared" si="0"/>
        <v>0.42913416473981708</v>
      </c>
      <c r="AV5" s="2">
        <f t="shared" si="1"/>
        <v>0.57086583526018286</v>
      </c>
      <c r="AW5" s="2">
        <v>0</v>
      </c>
      <c r="AX5" s="3">
        <v>4.69447159637113E-3</v>
      </c>
      <c r="AY5" s="3">
        <v>4.4293834097487404E-3</v>
      </c>
      <c r="AZ5" s="3">
        <v>4.9869223574181502E-3</v>
      </c>
      <c r="BA5" s="3">
        <v>6.2449314670446499E-3</v>
      </c>
      <c r="BB5" s="3">
        <v>5.0826794296119403E-3</v>
      </c>
      <c r="BC5" s="3">
        <v>7.57513897089608E-3</v>
      </c>
      <c r="BD5" s="3">
        <v>0</v>
      </c>
      <c r="BE5" s="3">
        <v>0</v>
      </c>
      <c r="BF5" s="3">
        <v>0</v>
      </c>
      <c r="BG5" s="3">
        <v>1.0939403063415801E-2</v>
      </c>
      <c r="BH5" s="3">
        <v>1.0394019778785299E-2</v>
      </c>
      <c r="BI5" s="3">
        <v>1.15570842187605E-2</v>
      </c>
      <c r="BJ5" s="3">
        <v>2.1950067823866E-2</v>
      </c>
      <c r="BK5" s="3">
        <v>-1.4666117725951799E-3</v>
      </c>
      <c r="BL5" s="3">
        <v>1.50586008520676E-3</v>
      </c>
      <c r="BM5" s="3">
        <v>2.0483456051270801E-2</v>
      </c>
      <c r="BN5" s="3">
        <v>2.34559279090727E-2</v>
      </c>
      <c r="BO5" s="3">
        <v>7.5763940097078502E-3</v>
      </c>
      <c r="BP5" s="3">
        <v>6.9217838014857796E-3</v>
      </c>
      <c r="BQ5" s="3">
        <v>8.2767391235765708E-3</v>
      </c>
      <c r="BR5" s="3">
        <v>0</v>
      </c>
      <c r="BS5" s="3">
        <v>0</v>
      </c>
      <c r="BT5" s="3">
        <v>0</v>
      </c>
      <c r="BU5" s="3">
        <v>3.4342707507423499E-3</v>
      </c>
      <c r="BV5" s="3">
        <v>2.81610201560873E-3</v>
      </c>
      <c r="BW5" s="3">
        <v>4.0524394858759798E-3</v>
      </c>
      <c r="BX5" s="3">
        <v>1.1010664760450199E-2</v>
      </c>
      <c r="BY5" s="3">
        <v>9.7378858170945101E-3</v>
      </c>
      <c r="BZ5" s="3">
        <v>1.2329178609452599E-2</v>
      </c>
      <c r="CA5">
        <v>8.2610163433087802E-3</v>
      </c>
      <c r="CB5" s="3">
        <v>7.1633139384792597E-3</v>
      </c>
      <c r="CC5">
        <v>0.80404036262501599</v>
      </c>
      <c r="CD5">
        <v>10432</v>
      </c>
      <c r="CE5">
        <v>2.83742331288344E-2</v>
      </c>
      <c r="CF5" s="5">
        <v>6.5508403361344497E-3</v>
      </c>
      <c r="CG5" s="5">
        <v>1.1956288343558301E-2</v>
      </c>
      <c r="CH5" s="13">
        <v>82.242825541128099</v>
      </c>
      <c r="CI5" s="13">
        <v>78.347613519473299</v>
      </c>
      <c r="CJ5" s="12">
        <v>86.410179903440707</v>
      </c>
      <c r="CK5" s="13">
        <v>82.242825541128099</v>
      </c>
      <c r="CL5" s="13">
        <v>78.347613519473299</v>
      </c>
      <c r="CM5">
        <v>86.410179903440707</v>
      </c>
      <c r="CN5">
        <v>48.369509845267999</v>
      </c>
      <c r="CO5">
        <v>43.973192946245497</v>
      </c>
      <c r="CP5">
        <v>52.839933729991699</v>
      </c>
      <c r="CQ5" t="s">
        <v>66</v>
      </c>
      <c r="CR5" t="s">
        <v>66</v>
      </c>
      <c r="CS5" t="s">
        <v>66</v>
      </c>
      <c r="CT5">
        <v>12.902514308109</v>
      </c>
      <c r="CU5">
        <v>11.368934738085199</v>
      </c>
      <c r="CV5">
        <v>14.7192169908664</v>
      </c>
      <c r="CW5">
        <v>25.131573548129701</v>
      </c>
      <c r="CX5">
        <v>22.2545045713515</v>
      </c>
      <c r="CY5">
        <v>28.4840062348303</v>
      </c>
      <c r="CZ5">
        <v>7.0487120401469703</v>
      </c>
      <c r="DA5">
        <v>5.4584397330145196</v>
      </c>
      <c r="DB5">
        <v>8.9005071780260892</v>
      </c>
      <c r="DC5">
        <v>0</v>
      </c>
      <c r="DD5">
        <v>0</v>
      </c>
      <c r="DE5">
        <v>0</v>
      </c>
      <c r="DF5">
        <v>0.62967063249160504</v>
      </c>
      <c r="DG5">
        <v>0.62967063249160504</v>
      </c>
      <c r="DH5">
        <v>0.37032936750839501</v>
      </c>
      <c r="DI5">
        <v>0.50162405673491905</v>
      </c>
      <c r="DJ5">
        <v>0.34516511508113501</v>
      </c>
      <c r="DK5">
        <v>65.094148834123203</v>
      </c>
      <c r="DL5">
        <v>1.8736484614028399</v>
      </c>
      <c r="DM5">
        <v>0.57040161953604296</v>
      </c>
      <c r="DN5">
        <v>1.06611193281389E-2</v>
      </c>
      <c r="DO5">
        <v>0.9</v>
      </c>
      <c r="DP5">
        <v>17.326203208556102</v>
      </c>
      <c r="DQ5">
        <v>6.8597696231864902E-2</v>
      </c>
      <c r="DR5">
        <v>-6.6816488431848703E-2</v>
      </c>
      <c r="DS5" s="3">
        <v>0</v>
      </c>
      <c r="DT5" s="3">
        <v>0</v>
      </c>
      <c r="DU5" s="3">
        <v>5.8386809712651297E-3</v>
      </c>
      <c r="DV5" s="3">
        <v>5.6683029511503703E-3</v>
      </c>
      <c r="DW5" s="3">
        <v>6.0558165831292501E-3</v>
      </c>
      <c r="DX5" s="5">
        <v>5.9587925946185498E-3</v>
      </c>
      <c r="DY5" s="5">
        <v>6.80521140665222E-3</v>
      </c>
      <c r="DZ5" s="5">
        <v>5.1123737825848796E-3</v>
      </c>
      <c r="EA5">
        <v>37.770041765060199</v>
      </c>
      <c r="EB5">
        <v>34.6175557180471</v>
      </c>
      <c r="EC5">
        <v>41.375722701142998</v>
      </c>
      <c r="ED5">
        <v>45.082799896385701</v>
      </c>
      <c r="EE5">
        <v>45.082799896385701</v>
      </c>
      <c r="EF5">
        <v>45.082799896385701</v>
      </c>
    </row>
    <row r="6" spans="1:136" x14ac:dyDescent="0.2">
      <c r="A6" t="s">
        <v>92</v>
      </c>
      <c r="B6">
        <v>30.380379316933599</v>
      </c>
      <c r="C6">
        <v>29.6229451218225</v>
      </c>
      <c r="D6">
        <v>31.105099966165302</v>
      </c>
      <c r="E6">
        <v>35.2251844666864</v>
      </c>
      <c r="F6">
        <v>31.686307409442598</v>
      </c>
      <c r="G6">
        <v>39.223326663142402</v>
      </c>
      <c r="H6">
        <v>0</v>
      </c>
      <c r="I6">
        <v>0</v>
      </c>
      <c r="J6">
        <v>0</v>
      </c>
      <c r="K6">
        <v>65.605563783619999</v>
      </c>
      <c r="L6">
        <v>62.042179049355198</v>
      </c>
      <c r="M6">
        <v>69.658255062794495</v>
      </c>
      <c r="N6">
        <v>44.058222601144401</v>
      </c>
      <c r="O6" s="20">
        <v>39.4307386121964</v>
      </c>
      <c r="P6" s="20">
        <v>49.400636169520297</v>
      </c>
      <c r="Q6" s="20">
        <v>0</v>
      </c>
      <c r="R6">
        <v>21.388091567027899</v>
      </c>
      <c r="S6" s="12">
        <v>131.05187795179199</v>
      </c>
      <c r="T6" s="6">
        <v>121.109260033038</v>
      </c>
      <c r="U6" s="6">
        <v>141.60051531920899</v>
      </c>
      <c r="V6" s="7">
        <v>1000</v>
      </c>
      <c r="W6" s="21">
        <v>5.5525154643944398E-2</v>
      </c>
      <c r="X6" s="21">
        <v>23.348039</v>
      </c>
      <c r="Y6" s="8">
        <v>78.552999999999997</v>
      </c>
      <c r="Z6" s="7">
        <v>6227.8408195989296</v>
      </c>
      <c r="AA6" s="7">
        <v>19670</v>
      </c>
      <c r="AB6" s="7">
        <v>94306</v>
      </c>
      <c r="AC6" s="6">
        <v>1.82507693639206</v>
      </c>
      <c r="AD6">
        <v>334</v>
      </c>
      <c r="AE6">
        <v>274.45299999999997</v>
      </c>
      <c r="AF6">
        <v>232</v>
      </c>
      <c r="AG6">
        <v>92.757999999999996</v>
      </c>
      <c r="AH6">
        <v>368</v>
      </c>
      <c r="AI6" s="4">
        <v>179</v>
      </c>
      <c r="AJ6" s="4">
        <v>91.007000000000005</v>
      </c>
      <c r="AK6" s="4">
        <v>51.768470883961498</v>
      </c>
      <c r="AL6" s="6" t="s">
        <v>37</v>
      </c>
      <c r="AM6" s="11" t="s">
        <v>36</v>
      </c>
      <c r="AN6" s="12" t="s">
        <v>296</v>
      </c>
      <c r="AO6" s="12" t="s">
        <v>37</v>
      </c>
      <c r="AP6" s="12">
        <v>51672</v>
      </c>
      <c r="AQ6">
        <v>4.7946552844019701</v>
      </c>
      <c r="AR6">
        <v>0.45668979343236699</v>
      </c>
      <c r="AS6">
        <v>2.5357771404643199E-2</v>
      </c>
      <c r="AT6" s="12">
        <v>1.7558595610794E-3</v>
      </c>
      <c r="AU6" s="2">
        <f t="shared" si="0"/>
        <v>0.46307626312204314</v>
      </c>
      <c r="AV6" s="2">
        <f t="shared" si="1"/>
        <v>0.5369237368779568</v>
      </c>
      <c r="AW6" s="2">
        <v>0</v>
      </c>
      <c r="AX6" s="3">
        <v>4.8781560410675502E-3</v>
      </c>
      <c r="AY6" s="3">
        <v>4.6118468848787399E-3</v>
      </c>
      <c r="AZ6" s="3">
        <v>5.1329633178121498E-3</v>
      </c>
      <c r="BA6" s="3">
        <v>5.6560829807713103E-3</v>
      </c>
      <c r="BB6" s="3">
        <v>4.4118357985692101E-3</v>
      </c>
      <c r="BC6" s="3">
        <v>7.0618049319764202E-3</v>
      </c>
      <c r="BD6" s="3">
        <v>0</v>
      </c>
      <c r="BE6" s="3">
        <v>0</v>
      </c>
      <c r="BF6" s="3">
        <v>0</v>
      </c>
      <c r="BG6" s="3">
        <v>1.05342390218389E-2</v>
      </c>
      <c r="BH6" s="3">
        <v>9.9620688528372896E-3</v>
      </c>
      <c r="BI6" s="3">
        <v>1.1184976797027501E-2</v>
      </c>
      <c r="BJ6" s="3">
        <v>2.10429074454462E-2</v>
      </c>
      <c r="BK6" s="3">
        <v>-1.5964791340627601E-3</v>
      </c>
      <c r="BL6" s="3">
        <v>1.69378724873963E-3</v>
      </c>
      <c r="BM6" s="3">
        <v>1.9446428311383501E-2</v>
      </c>
      <c r="BN6" s="3">
        <v>2.2736694694185901E-2</v>
      </c>
      <c r="BO6" s="3">
        <v>7.0743976728650099E-3</v>
      </c>
      <c r="BP6" s="3">
        <v>6.3313658383991498E-3</v>
      </c>
      <c r="BQ6" s="3">
        <v>7.9322252447520999E-3</v>
      </c>
      <c r="BR6" s="3">
        <v>0</v>
      </c>
      <c r="BS6" s="3">
        <v>0</v>
      </c>
      <c r="BT6" s="3">
        <v>0</v>
      </c>
      <c r="BU6" s="3">
        <v>3.4342707507423499E-3</v>
      </c>
      <c r="BV6" s="3">
        <v>2.81610201560873E-3</v>
      </c>
      <c r="BW6" s="3">
        <v>4.0524394858759798E-3</v>
      </c>
      <c r="BX6" s="3">
        <v>1.05086684236074E-2</v>
      </c>
      <c r="BY6" s="3">
        <v>9.1474678540078794E-3</v>
      </c>
      <c r="BZ6" s="3">
        <v>1.19846647306281E-2</v>
      </c>
      <c r="CA6">
        <v>6.4638488930174997E-3</v>
      </c>
      <c r="CB6" s="3">
        <v>5.3114452701656604E-3</v>
      </c>
      <c r="CC6">
        <v>0.82791960615150295</v>
      </c>
      <c r="CD6">
        <v>10777</v>
      </c>
      <c r="CE6">
        <v>2.1527326714299001E-2</v>
      </c>
      <c r="CF6" s="5">
        <v>4.7157092018302003E-3</v>
      </c>
      <c r="CG6" s="5">
        <v>8.6070334972626894E-3</v>
      </c>
      <c r="CH6" s="13">
        <v>79.283407067830794</v>
      </c>
      <c r="CI6" s="13">
        <v>74.655923078882793</v>
      </c>
      <c r="CJ6" s="12">
        <v>84.625820636206598</v>
      </c>
      <c r="CK6" s="13">
        <v>79.283407067830794</v>
      </c>
      <c r="CL6" s="13">
        <v>74.655923078882793</v>
      </c>
      <c r="CM6">
        <v>84.625820636206598</v>
      </c>
      <c r="CN6">
        <v>51.768470883961498</v>
      </c>
      <c r="CO6">
        <v>47.161180206785403</v>
      </c>
      <c r="CP6">
        <v>56.343048015258198</v>
      </c>
      <c r="CQ6" t="s">
        <v>66</v>
      </c>
      <c r="CR6" t="s">
        <v>66</v>
      </c>
      <c r="CS6" t="s">
        <v>66</v>
      </c>
      <c r="CT6">
        <v>6.8500922591465603</v>
      </c>
      <c r="CU6">
        <v>6.0282530691134397</v>
      </c>
      <c r="CV6">
        <v>7.7161175076744701</v>
      </c>
      <c r="CW6">
        <v>27.270887235179401</v>
      </c>
      <c r="CX6">
        <v>23.4581613869296</v>
      </c>
      <c r="CY6">
        <v>31.548214917109799</v>
      </c>
      <c r="CZ6">
        <v>9.9372431068184195</v>
      </c>
      <c r="DA6">
        <v>7.3995793488341404</v>
      </c>
      <c r="DB6">
        <v>13.087737277518601</v>
      </c>
      <c r="DC6">
        <v>0</v>
      </c>
      <c r="DD6">
        <v>0</v>
      </c>
      <c r="DE6">
        <v>0</v>
      </c>
      <c r="DF6">
        <v>0.60497607841252199</v>
      </c>
      <c r="DG6">
        <v>0.60497607841252199</v>
      </c>
      <c r="DH6">
        <v>0.39502392158747801</v>
      </c>
      <c r="DI6">
        <v>0.49939238060432101</v>
      </c>
      <c r="DJ6">
        <v>0.33618858634359799</v>
      </c>
      <c r="DK6">
        <v>65.605563783619999</v>
      </c>
      <c r="DL6">
        <v>1.7878720496989999</v>
      </c>
      <c r="DM6">
        <v>0.57788260365583499</v>
      </c>
      <c r="DN6">
        <v>1.06611193281389E-2</v>
      </c>
      <c r="DO6">
        <v>0.9</v>
      </c>
      <c r="DP6">
        <v>17.326203208556102</v>
      </c>
      <c r="DQ6">
        <v>8.0491867258428398E-2</v>
      </c>
      <c r="DR6">
        <v>-7.5872470203970505E-2</v>
      </c>
      <c r="DS6" s="3">
        <v>0</v>
      </c>
      <c r="DT6" s="3">
        <v>0</v>
      </c>
      <c r="DU6" s="3">
        <v>5.8921178437350398E-3</v>
      </c>
      <c r="DV6" s="3">
        <v>5.7140847657857997E-3</v>
      </c>
      <c r="DW6" s="3">
        <v>6.1175685295004698E-3</v>
      </c>
      <c r="DX6" s="5">
        <v>5.9587925946185498E-3</v>
      </c>
      <c r="DY6" s="5">
        <v>6.80521140665222E-3</v>
      </c>
      <c r="DZ6" s="5">
        <v>5.1123737825848796E-3</v>
      </c>
      <c r="EA6">
        <v>35.836546499647497</v>
      </c>
      <c r="EB6">
        <v>32.260771799033002</v>
      </c>
      <c r="EC6">
        <v>39.810770072209102</v>
      </c>
      <c r="ED6">
        <v>44.058222601144401</v>
      </c>
      <c r="EE6">
        <v>44.058222601144401</v>
      </c>
      <c r="EF6">
        <v>44.058222601144401</v>
      </c>
    </row>
    <row r="7" spans="1:136" x14ac:dyDescent="0.2">
      <c r="A7" t="s">
        <v>94</v>
      </c>
      <c r="B7">
        <v>2.5786293917781902</v>
      </c>
      <c r="C7">
        <v>2.4625640739030499</v>
      </c>
      <c r="D7">
        <v>2.6955782543837499</v>
      </c>
      <c r="E7">
        <v>2.3753053208863202</v>
      </c>
      <c r="F7">
        <v>1.6435166749082699</v>
      </c>
      <c r="G7">
        <v>3.26467164074178</v>
      </c>
      <c r="H7">
        <v>0</v>
      </c>
      <c r="I7">
        <v>0</v>
      </c>
      <c r="J7">
        <v>0</v>
      </c>
      <c r="K7">
        <v>4.9539347126645099</v>
      </c>
      <c r="L7">
        <v>4.2155634260180603</v>
      </c>
      <c r="M7">
        <v>5.8578010732763701</v>
      </c>
      <c r="N7">
        <v>4.7790584549037298</v>
      </c>
      <c r="O7" s="20">
        <v>3.6709295492160998</v>
      </c>
      <c r="P7" s="20">
        <v>6.2204778833392398</v>
      </c>
      <c r="Q7" s="20">
        <v>0</v>
      </c>
      <c r="R7">
        <v>1.1897865990230101</v>
      </c>
      <c r="S7" s="12">
        <v>10.9227797665912</v>
      </c>
      <c r="T7" s="6">
        <v>9.3560896206295698</v>
      </c>
      <c r="U7" s="6">
        <v>12.7596299401237</v>
      </c>
      <c r="V7" s="7">
        <v>1000</v>
      </c>
      <c r="W7" s="21">
        <v>0.100830739644204</v>
      </c>
      <c r="X7" s="21">
        <v>9</v>
      </c>
      <c r="Y7" s="8">
        <v>40.093000000000004</v>
      </c>
      <c r="Z7" s="7">
        <v>264.97395591978602</v>
      </c>
      <c r="AA7" s="7">
        <v>41547</v>
      </c>
      <c r="AB7" s="7">
        <v>81234</v>
      </c>
      <c r="AC7" s="6">
        <v>1.7471737405793999</v>
      </c>
      <c r="AD7">
        <v>77</v>
      </c>
      <c r="AE7">
        <v>69.082999999999998</v>
      </c>
      <c r="AF7">
        <v>40</v>
      </c>
      <c r="AG7">
        <v>15.06</v>
      </c>
      <c r="AH7">
        <v>48</v>
      </c>
      <c r="AI7" s="4">
        <v>36</v>
      </c>
      <c r="AJ7" s="4">
        <v>18.155999999999999</v>
      </c>
      <c r="AK7" s="4">
        <v>3.7684159908011998</v>
      </c>
      <c r="AL7" s="6" t="s">
        <v>37</v>
      </c>
      <c r="AM7" s="11" t="s">
        <v>36</v>
      </c>
      <c r="AN7" s="12" t="s">
        <v>296</v>
      </c>
      <c r="AO7" s="12" t="s">
        <v>37</v>
      </c>
      <c r="AP7" s="12">
        <v>46494</v>
      </c>
      <c r="AQ7">
        <v>1.9552546364439201</v>
      </c>
      <c r="AR7">
        <v>0.71515196751850496</v>
      </c>
      <c r="AS7">
        <v>7.2109301842898599E-2</v>
      </c>
      <c r="AT7" s="12">
        <v>3.1885479543512E-3</v>
      </c>
      <c r="AU7" s="2">
        <f t="shared" si="0"/>
        <v>0.52052147259551906</v>
      </c>
      <c r="AV7" s="2">
        <f t="shared" si="1"/>
        <v>0.47947852740448105</v>
      </c>
      <c r="AW7" s="2">
        <v>0</v>
      </c>
      <c r="AX7" s="3">
        <v>9.7316333706351302E-3</v>
      </c>
      <c r="AY7" s="3">
        <v>9.1191406412078398E-3</v>
      </c>
      <c r="AZ7" s="3">
        <v>1.03487886877623E-2</v>
      </c>
      <c r="BA7" s="3">
        <v>8.9642973123191805E-3</v>
      </c>
      <c r="BB7" s="3">
        <v>5.1025474515970001E-3</v>
      </c>
      <c r="BC7" s="3">
        <v>1.36576063445228E-2</v>
      </c>
      <c r="BD7" s="3">
        <v>0</v>
      </c>
      <c r="BE7" s="3">
        <v>0</v>
      </c>
      <c r="BF7" s="3">
        <v>0</v>
      </c>
      <c r="BG7" s="3">
        <v>1.86959306829543E-2</v>
      </c>
      <c r="BH7" s="3">
        <v>1.5909350077009901E-2</v>
      </c>
      <c r="BI7" s="3">
        <v>2.2107082384540701E-2</v>
      </c>
      <c r="BJ7" s="3">
        <v>4.12220881432507E-2</v>
      </c>
      <c r="BK7" s="3">
        <v>-5.9126193762075001E-3</v>
      </c>
      <c r="BL7" s="3">
        <v>6.9321913814372098E-3</v>
      </c>
      <c r="BM7" s="3">
        <v>3.5309468767043203E-2</v>
      </c>
      <c r="BN7" s="3">
        <v>4.8154279524687899E-2</v>
      </c>
      <c r="BO7" s="3">
        <v>1.8035955414238799E-2</v>
      </c>
      <c r="BP7" s="3">
        <v>1.3853925894239101E-2</v>
      </c>
      <c r="BQ7" s="3">
        <v>2.3475808638424502E-2</v>
      </c>
      <c r="BR7" s="3">
        <v>0</v>
      </c>
      <c r="BS7" s="3">
        <v>0</v>
      </c>
      <c r="BT7" s="3">
        <v>0</v>
      </c>
      <c r="BU7" s="3">
        <v>4.4902020460576304E-3</v>
      </c>
      <c r="BV7" s="3">
        <v>3.68196567776725E-3</v>
      </c>
      <c r="BW7" s="3">
        <v>5.2984384143480003E-3</v>
      </c>
      <c r="BX7" s="3">
        <v>2.25261574602964E-2</v>
      </c>
      <c r="BY7" s="3">
        <v>1.7535891572006398E-2</v>
      </c>
      <c r="BZ7" s="3">
        <v>2.8774247052772501E-2</v>
      </c>
      <c r="CA7">
        <v>1.6561276723878399E-3</v>
      </c>
      <c r="CB7" s="3">
        <v>1.4858476362541401E-3</v>
      </c>
      <c r="CC7">
        <v>0.98844575679731494</v>
      </c>
      <c r="CD7">
        <v>23779</v>
      </c>
      <c r="CE7">
        <v>1.6821565246646201E-3</v>
      </c>
      <c r="CF7" s="5">
        <v>3.6248104556285698E-4</v>
      </c>
      <c r="CG7" s="5">
        <v>6.3333193153622901E-4</v>
      </c>
      <c r="CH7" s="13">
        <v>7.15436377579005</v>
      </c>
      <c r="CI7" s="13">
        <v>6.0462348701024196</v>
      </c>
      <c r="CJ7" s="12">
        <v>8.59578320422556</v>
      </c>
      <c r="CK7" s="13">
        <v>7.15436377579005</v>
      </c>
      <c r="CL7" s="13">
        <v>6.0462348701024196</v>
      </c>
      <c r="CM7">
        <v>8.59578320422556</v>
      </c>
      <c r="CN7">
        <v>3.7684159908011998</v>
      </c>
      <c r="CO7">
        <v>3.4381890851019201</v>
      </c>
      <c r="CP7">
        <v>4.0995264412308901</v>
      </c>
      <c r="CQ7" t="s">
        <v>66</v>
      </c>
      <c r="CR7" t="s">
        <v>66</v>
      </c>
      <c r="CS7" t="s">
        <v>66</v>
      </c>
      <c r="CT7">
        <v>1.8744094672493901</v>
      </c>
      <c r="CU7">
        <v>1.2774239378687999</v>
      </c>
      <c r="CV7">
        <v>2.51589764231989</v>
      </c>
      <c r="CW7">
        <v>0</v>
      </c>
      <c r="CX7">
        <v>0</v>
      </c>
      <c r="CY7">
        <v>0</v>
      </c>
      <c r="CZ7">
        <v>0.76594243726850897</v>
      </c>
      <c r="DA7">
        <v>0.53845299181929496</v>
      </c>
      <c r="DB7">
        <v>1.0601965245448399</v>
      </c>
      <c r="DC7">
        <v>1.8197724709355001</v>
      </c>
      <c r="DD7">
        <v>1.0127034191374</v>
      </c>
      <c r="DE7">
        <v>3.1629883822095</v>
      </c>
      <c r="DF7">
        <v>0.65499013870574097</v>
      </c>
      <c r="DG7">
        <v>0.65499013870574097</v>
      </c>
      <c r="DH7">
        <v>0.34500986129425898</v>
      </c>
      <c r="DI7">
        <v>0.54645794027856798</v>
      </c>
      <c r="DJ7">
        <v>0.43752954353040302</v>
      </c>
      <c r="DK7">
        <v>4.9539347126645099</v>
      </c>
      <c r="DL7">
        <v>1.8989686162983399</v>
      </c>
      <c r="DM7">
        <v>1.11431917204166E-2</v>
      </c>
      <c r="DN7">
        <v>5.7351807411049602E-2</v>
      </c>
      <c r="DO7">
        <v>0.9</v>
      </c>
      <c r="DP7">
        <v>17.326203208556102</v>
      </c>
      <c r="DQ7">
        <v>0.168162454533543</v>
      </c>
      <c r="DR7">
        <v>-0.143414339045771</v>
      </c>
      <c r="DS7" s="3">
        <v>0</v>
      </c>
      <c r="DT7" s="3">
        <v>0</v>
      </c>
      <c r="DU7" s="3">
        <v>9.8454148659221294E-3</v>
      </c>
      <c r="DV7" s="3">
        <v>9.3884915677942393E-3</v>
      </c>
      <c r="DW7" s="3">
        <v>1.03216257247655E-2</v>
      </c>
      <c r="DX7" s="5">
        <v>5.1203661661178103E-2</v>
      </c>
      <c r="DY7" s="5">
        <v>5.2310327896154897E-2</v>
      </c>
      <c r="DZ7" s="5">
        <v>5.0096995426201198E-2</v>
      </c>
      <c r="EA7">
        <v>2.3934667781896199</v>
      </c>
      <c r="EB7">
        <v>1.6638554481997501</v>
      </c>
      <c r="EC7">
        <v>3.29254846100992</v>
      </c>
      <c r="ED7">
        <v>4.7790584549037298</v>
      </c>
      <c r="EE7">
        <v>4.7790584549037298</v>
      </c>
      <c r="EF7">
        <v>4.7790584549037298</v>
      </c>
    </row>
    <row r="8" spans="1:136" x14ac:dyDescent="0.2">
      <c r="A8" t="s">
        <v>95</v>
      </c>
      <c r="B8">
        <v>2.6738461919960601</v>
      </c>
      <c r="C8">
        <v>2.5920399563924601</v>
      </c>
      <c r="D8">
        <v>2.7619706763932799</v>
      </c>
      <c r="E8">
        <v>4.48500982406585</v>
      </c>
      <c r="F8">
        <v>3.7496228462471199</v>
      </c>
      <c r="G8">
        <v>5.3525913886965002</v>
      </c>
      <c r="H8">
        <v>0</v>
      </c>
      <c r="I8">
        <v>0</v>
      </c>
      <c r="J8">
        <v>0</v>
      </c>
      <c r="K8">
        <v>7.1588560160619101</v>
      </c>
      <c r="L8">
        <v>6.41745122951827</v>
      </c>
      <c r="M8">
        <v>8.0364764829282205</v>
      </c>
      <c r="N8">
        <v>7.4209130361960502</v>
      </c>
      <c r="O8" s="20">
        <v>6.1701771452260701</v>
      </c>
      <c r="P8" s="20">
        <v>8.8715321459530898</v>
      </c>
      <c r="Q8" s="20">
        <v>0</v>
      </c>
      <c r="R8">
        <v>1.2427774853092</v>
      </c>
      <c r="S8" s="12">
        <v>15.822546537567201</v>
      </c>
      <c r="T8" s="6">
        <v>14.081622923828</v>
      </c>
      <c r="U8" s="6">
        <v>17.665519702086499</v>
      </c>
      <c r="V8" s="7">
        <v>1000</v>
      </c>
      <c r="W8" s="21">
        <v>0.115931816863123</v>
      </c>
      <c r="X8" s="21">
        <v>11</v>
      </c>
      <c r="Y8" s="8">
        <v>41.570999999999998</v>
      </c>
      <c r="Z8" s="7">
        <v>284.66581394117702</v>
      </c>
      <c r="AA8" s="7">
        <v>40365</v>
      </c>
      <c r="AB8" s="7">
        <v>192459</v>
      </c>
      <c r="AC8" s="6">
        <v>1.7471737405793999</v>
      </c>
      <c r="AD8">
        <v>86</v>
      </c>
      <c r="AE8">
        <v>80.167000000000002</v>
      </c>
      <c r="AF8">
        <v>54</v>
      </c>
      <c r="AG8">
        <v>15.926</v>
      </c>
      <c r="AH8">
        <v>144</v>
      </c>
      <c r="AI8" s="4">
        <v>89</v>
      </c>
      <c r="AJ8" s="4">
        <v>25.256</v>
      </c>
      <c r="AK8" s="4">
        <v>3.9166236773052598</v>
      </c>
      <c r="AL8" s="6" t="s">
        <v>37</v>
      </c>
      <c r="AM8" s="11" t="s">
        <v>36</v>
      </c>
      <c r="AN8" s="12" t="s">
        <v>296</v>
      </c>
      <c r="AO8" s="12" t="s">
        <v>37</v>
      </c>
      <c r="AP8" s="12">
        <v>110154</v>
      </c>
      <c r="AQ8">
        <v>4.7679522139981803</v>
      </c>
      <c r="AR8">
        <v>0.45796686083536697</v>
      </c>
      <c r="AS8">
        <v>5.3092930239745102E-2</v>
      </c>
      <c r="AT8" s="12">
        <v>3.6660859456898601E-3</v>
      </c>
      <c r="AU8" s="2">
        <f t="shared" si="0"/>
        <v>0.37350188158511727</v>
      </c>
      <c r="AV8" s="2">
        <f t="shared" si="1"/>
        <v>0.62649811841488268</v>
      </c>
      <c r="AW8" s="2">
        <v>0</v>
      </c>
      <c r="AX8" s="3">
        <v>9.3929304505408102E-3</v>
      </c>
      <c r="AY8" s="3">
        <v>8.7654256672785504E-3</v>
      </c>
      <c r="AZ8" s="3">
        <v>1.00689001376162E-2</v>
      </c>
      <c r="BA8" s="3">
        <v>1.5755351027126299E-2</v>
      </c>
      <c r="BB8" s="3">
        <v>1.0114474842991701E-2</v>
      </c>
      <c r="BC8" s="3">
        <v>2.2410242034627301E-2</v>
      </c>
      <c r="BD8" s="3">
        <v>0</v>
      </c>
      <c r="BE8" s="3">
        <v>0</v>
      </c>
      <c r="BF8" s="3">
        <v>0</v>
      </c>
      <c r="BG8" s="3">
        <v>2.5148281477667098E-2</v>
      </c>
      <c r="BH8" s="3">
        <v>2.2543807212637001E-2</v>
      </c>
      <c r="BI8" s="3">
        <v>2.8231266591740699E-2</v>
      </c>
      <c r="BJ8" s="3">
        <v>5.5582882673915798E-2</v>
      </c>
      <c r="BK8" s="3">
        <v>-6.1156750423809903E-3</v>
      </c>
      <c r="BL8" s="3">
        <v>6.4741639995457897E-3</v>
      </c>
      <c r="BM8" s="3">
        <v>4.9467207631534803E-2</v>
      </c>
      <c r="BN8" s="3">
        <v>6.2057046673461597E-2</v>
      </c>
      <c r="BO8" s="3">
        <v>2.6068859247459601E-2</v>
      </c>
      <c r="BP8" s="3">
        <v>2.1675160286373799E-2</v>
      </c>
      <c r="BQ8" s="3">
        <v>3.1164726185864799E-2</v>
      </c>
      <c r="BR8" s="3">
        <v>0</v>
      </c>
      <c r="BS8" s="3">
        <v>0</v>
      </c>
      <c r="BT8" s="3">
        <v>0</v>
      </c>
      <c r="BU8" s="3">
        <v>4.3657419487891404E-3</v>
      </c>
      <c r="BV8" s="3">
        <v>3.5799083980071001E-3</v>
      </c>
      <c r="BW8" s="3">
        <v>5.1515754995711902E-3</v>
      </c>
      <c r="BX8" s="3">
        <v>3.04346011962487E-2</v>
      </c>
      <c r="BY8" s="3">
        <v>2.5255068684380901E-2</v>
      </c>
      <c r="BZ8" s="3">
        <v>3.6316301685435898E-2</v>
      </c>
      <c r="CA8">
        <v>7.8072516658496296E-4</v>
      </c>
      <c r="CB8" s="3">
        <v>7.2777202825135699E-4</v>
      </c>
      <c r="CC8">
        <v>0.98410560154335003</v>
      </c>
      <c r="CD8">
        <v>23103</v>
      </c>
      <c r="CE8">
        <v>2.33735878457343E-3</v>
      </c>
      <c r="CF8" s="5">
        <v>3.9454973368016898E-4</v>
      </c>
      <c r="CG8" s="5">
        <v>6.8934770376141599E-4</v>
      </c>
      <c r="CH8" s="13">
        <v>11.905922860261899</v>
      </c>
      <c r="CI8" s="13">
        <v>10.655186969291901</v>
      </c>
      <c r="CJ8" s="12">
        <v>13.356541970018901</v>
      </c>
      <c r="CK8" s="13">
        <v>11.905922860261899</v>
      </c>
      <c r="CL8" s="13">
        <v>10.655186969291901</v>
      </c>
      <c r="CM8">
        <v>13.356541970018901</v>
      </c>
      <c r="CN8">
        <v>3.9166236773052598</v>
      </c>
      <c r="CO8">
        <v>3.61111749434601</v>
      </c>
      <c r="CP8">
        <v>4.2284481090581298</v>
      </c>
      <c r="CQ8" t="s">
        <v>66</v>
      </c>
      <c r="CR8" t="s">
        <v>66</v>
      </c>
      <c r="CS8" t="s">
        <v>66</v>
      </c>
      <c r="CT8">
        <v>2.4012658121023698</v>
      </c>
      <c r="CU8">
        <v>1.71921534795901</v>
      </c>
      <c r="CV8">
        <v>3.3039106590378902</v>
      </c>
      <c r="CW8">
        <v>0</v>
      </c>
      <c r="CX8">
        <v>0</v>
      </c>
      <c r="CY8">
        <v>0</v>
      </c>
      <c r="CZ8">
        <v>0.136838041111739</v>
      </c>
      <c r="DA8">
        <v>7.4170752980935103E-2</v>
      </c>
      <c r="DB8">
        <v>0.46361155720576303</v>
      </c>
      <c r="DC8">
        <v>4.2485881513960901</v>
      </c>
      <c r="DD8">
        <v>3.3414870947252999</v>
      </c>
      <c r="DE8">
        <v>5.57165039729641</v>
      </c>
      <c r="DF8">
        <v>0.75246435428172698</v>
      </c>
      <c r="DG8">
        <v>0.75246435428172698</v>
      </c>
      <c r="DH8">
        <v>0.24753564571827399</v>
      </c>
      <c r="DI8">
        <v>0.54755131471778795</v>
      </c>
      <c r="DJ8">
        <v>0.469006037973972</v>
      </c>
      <c r="DK8">
        <v>7.1588560160619101</v>
      </c>
      <c r="DL8">
        <v>2.6348455327090901</v>
      </c>
      <c r="DM8">
        <v>1.2321595201539901E-2</v>
      </c>
      <c r="DN8">
        <v>5.4455461287783197E-2</v>
      </c>
      <c r="DO8">
        <v>0.9</v>
      </c>
      <c r="DP8">
        <v>17.326203208556102</v>
      </c>
      <c r="DQ8">
        <v>0.116459667935552</v>
      </c>
      <c r="DR8">
        <v>-0.110029467479594</v>
      </c>
      <c r="DS8" s="3">
        <v>0</v>
      </c>
      <c r="DT8" s="3">
        <v>0</v>
      </c>
      <c r="DU8" s="3">
        <v>9.5446348525743303E-3</v>
      </c>
      <c r="DV8" s="3">
        <v>9.2493406921875295E-3</v>
      </c>
      <c r="DW8" s="3">
        <v>9.8772482054639704E-3</v>
      </c>
      <c r="DX8" s="5">
        <v>4.8477730768718801E-2</v>
      </c>
      <c r="DY8" s="5">
        <v>4.95537222621504E-2</v>
      </c>
      <c r="DZ8" s="5">
        <v>4.7401739275287201E-2</v>
      </c>
      <c r="EA8">
        <v>4.4872979554049097</v>
      </c>
      <c r="EB8">
        <v>3.75152723780187</v>
      </c>
      <c r="EC8">
        <v>5.3565462515261304</v>
      </c>
      <c r="ED8">
        <v>7.4209130361960502</v>
      </c>
      <c r="EE8">
        <v>7.4209130361960502</v>
      </c>
      <c r="EF8">
        <v>7.4209130361960502</v>
      </c>
    </row>
    <row r="9" spans="1:136" x14ac:dyDescent="0.2">
      <c r="A9" t="s">
        <v>97</v>
      </c>
      <c r="B9">
        <v>1.81290819571822</v>
      </c>
      <c r="C9">
        <v>1.7648089781951199</v>
      </c>
      <c r="D9">
        <v>1.86774975949759</v>
      </c>
      <c r="E9">
        <v>3.83903570860029</v>
      </c>
      <c r="F9">
        <v>3.1488633615096999</v>
      </c>
      <c r="G9">
        <v>4.6782201380189301</v>
      </c>
      <c r="H9">
        <v>0</v>
      </c>
      <c r="I9">
        <v>0</v>
      </c>
      <c r="J9">
        <v>0</v>
      </c>
      <c r="K9">
        <v>5.65194390431851</v>
      </c>
      <c r="L9">
        <v>4.9549279922496501</v>
      </c>
      <c r="M9">
        <v>6.49506923608336</v>
      </c>
      <c r="N9">
        <v>4.1744363937192404</v>
      </c>
      <c r="O9" s="20">
        <v>3.5147462453893401</v>
      </c>
      <c r="P9" s="20">
        <v>5.0413469321134299</v>
      </c>
      <c r="Q9" s="20">
        <v>0</v>
      </c>
      <c r="R9">
        <v>0.87037444810168496</v>
      </c>
      <c r="S9" s="12">
        <v>10.696754746139399</v>
      </c>
      <c r="T9" s="6">
        <v>9.5587843048761698</v>
      </c>
      <c r="U9" s="6">
        <v>11.9928151909943</v>
      </c>
      <c r="V9" s="7">
        <v>1000</v>
      </c>
      <c r="W9" s="21">
        <v>0.14375971408469901</v>
      </c>
      <c r="X9" s="21">
        <v>23.632191899999999</v>
      </c>
      <c r="Y9" s="8">
        <v>36.04</v>
      </c>
      <c r="Z9" s="7">
        <v>231.42088684492001</v>
      </c>
      <c r="AA9" s="7">
        <v>31919</v>
      </c>
      <c r="AB9" s="7">
        <v>238393</v>
      </c>
      <c r="AC9" s="6">
        <v>1.99587797622094</v>
      </c>
      <c r="AD9">
        <v>94</v>
      </c>
      <c r="AE9">
        <v>90.480999999999995</v>
      </c>
      <c r="AF9">
        <v>39</v>
      </c>
      <c r="AG9">
        <v>13.316000000000001</v>
      </c>
      <c r="AH9">
        <v>151</v>
      </c>
      <c r="AI9" s="4">
        <v>65</v>
      </c>
      <c r="AJ9" s="4">
        <v>16.922999999999998</v>
      </c>
      <c r="AK9" s="4">
        <v>2.68328264381991</v>
      </c>
      <c r="AL9" s="6" t="s">
        <v>37</v>
      </c>
      <c r="AM9" s="11" t="s">
        <v>36</v>
      </c>
      <c r="AN9" s="12" t="s">
        <v>296</v>
      </c>
      <c r="AO9" s="12" t="s">
        <v>37</v>
      </c>
      <c r="AP9" s="12">
        <v>119442</v>
      </c>
      <c r="AQ9">
        <v>7.4688594297148603</v>
      </c>
      <c r="AR9">
        <v>0.36590880241805002</v>
      </c>
      <c r="AS9">
        <v>5.2602944816693399E-2</v>
      </c>
      <c r="AT9" s="12">
        <v>4.54608132282237E-3</v>
      </c>
      <c r="AU9" s="2">
        <f t="shared" si="0"/>
        <v>0.32075834905810402</v>
      </c>
      <c r="AV9" s="2">
        <f t="shared" si="1"/>
        <v>0.67924165094189592</v>
      </c>
      <c r="AW9" s="2">
        <v>0</v>
      </c>
      <c r="AX9" s="3">
        <v>7.8338140538415993E-3</v>
      </c>
      <c r="AY9" s="3">
        <v>7.2657953968643897E-3</v>
      </c>
      <c r="AZ9" s="3">
        <v>8.4814551800102209E-3</v>
      </c>
      <c r="BA9" s="3">
        <v>1.6588976738183998E-2</v>
      </c>
      <c r="BB9" s="3">
        <v>8.4385162969311794E-3</v>
      </c>
      <c r="BC9" s="3">
        <v>2.6499167321340101E-2</v>
      </c>
      <c r="BD9" s="3">
        <v>0</v>
      </c>
      <c r="BE9" s="3">
        <v>0</v>
      </c>
      <c r="BF9" s="3">
        <v>0</v>
      </c>
      <c r="BG9" s="3">
        <v>2.4422790792025601E-2</v>
      </c>
      <c r="BH9" s="3">
        <v>2.1410893631092401E-2</v>
      </c>
      <c r="BI9" s="3">
        <v>2.80660459158808E-2</v>
      </c>
      <c r="BJ9" s="3">
        <v>4.6222080003122501E-2</v>
      </c>
      <c r="BK9" s="3">
        <v>-4.91731950723121E-3</v>
      </c>
      <c r="BL9" s="3">
        <v>5.6004471442691302E-3</v>
      </c>
      <c r="BM9" s="3">
        <v>4.1304760495891303E-2</v>
      </c>
      <c r="BN9" s="3">
        <v>5.1822527147391599E-2</v>
      </c>
      <c r="BO9" s="3">
        <v>1.8038287082170801E-2</v>
      </c>
      <c r="BP9" s="3">
        <v>1.51876794411589E-2</v>
      </c>
      <c r="BQ9" s="3">
        <v>2.1784321203002499E-2</v>
      </c>
      <c r="BR9" s="3">
        <v>0</v>
      </c>
      <c r="BS9" s="3">
        <v>0</v>
      </c>
      <c r="BT9" s="3">
        <v>0</v>
      </c>
      <c r="BU9" s="3">
        <v>3.7610021289259899E-3</v>
      </c>
      <c r="BV9" s="3">
        <v>3.0840217457193098E-3</v>
      </c>
      <c r="BW9" s="3">
        <v>4.4379825121326696E-3</v>
      </c>
      <c r="BX9" s="3">
        <v>2.1799289211096799E-2</v>
      </c>
      <c r="BY9" s="3">
        <v>1.8271701186878202E-2</v>
      </c>
      <c r="BZ9" s="3">
        <v>2.62223037151352E-2</v>
      </c>
      <c r="CA9">
        <v>7.8699285008623397E-4</v>
      </c>
      <c r="CB9" s="3">
        <v>7.5753085179417596E-4</v>
      </c>
      <c r="CC9">
        <v>0.98453791739288798</v>
      </c>
      <c r="CD9">
        <v>15992</v>
      </c>
      <c r="CE9">
        <v>2.4387193596798399E-3</v>
      </c>
      <c r="CF9" s="5">
        <v>4.1718098937936702E-4</v>
      </c>
      <c r="CG9" s="5">
        <v>8.32666333166583E-4</v>
      </c>
      <c r="CH9" s="13">
        <v>8.0134721023195308</v>
      </c>
      <c r="CI9" s="13">
        <v>7.3537819539896399</v>
      </c>
      <c r="CJ9" s="12">
        <v>8.8803826407137301</v>
      </c>
      <c r="CK9" s="13">
        <v>8.0134721023195308</v>
      </c>
      <c r="CL9" s="13">
        <v>7.3537819539896399</v>
      </c>
      <c r="CM9">
        <v>8.8803826407137301</v>
      </c>
      <c r="CN9">
        <v>2.68328264381991</v>
      </c>
      <c r="CO9">
        <v>2.4785160256385099</v>
      </c>
      <c r="CP9">
        <v>2.89479160825758</v>
      </c>
      <c r="CQ9" t="s">
        <v>66</v>
      </c>
      <c r="CR9" t="s">
        <v>66</v>
      </c>
      <c r="CS9" t="s">
        <v>66</v>
      </c>
      <c r="CT9">
        <v>3.5507970965548701</v>
      </c>
      <c r="CU9">
        <v>2.98605218909915</v>
      </c>
      <c r="CV9">
        <v>4.2293740871623502</v>
      </c>
      <c r="CW9">
        <v>0.53065559350573399</v>
      </c>
      <c r="CX9">
        <v>0.35326015454576498</v>
      </c>
      <c r="CY9">
        <v>1.23500551236127</v>
      </c>
      <c r="CZ9">
        <v>1.8424458260277402E-2</v>
      </c>
      <c r="DA9">
        <v>1.14709809236473E-2</v>
      </c>
      <c r="DB9">
        <v>8.1021725919309298E-2</v>
      </c>
      <c r="DC9">
        <v>7.4559245398359703E-2</v>
      </c>
      <c r="DD9">
        <v>4.7277361205452402E-2</v>
      </c>
      <c r="DE9">
        <v>0.246695310330524</v>
      </c>
      <c r="DF9">
        <v>0.74914470263716204</v>
      </c>
      <c r="DG9">
        <v>0.74914470263716204</v>
      </c>
      <c r="DH9">
        <v>0.25085529736283801</v>
      </c>
      <c r="DI9">
        <v>0.471623948956235</v>
      </c>
      <c r="DJ9">
        <v>0.390253787338805</v>
      </c>
      <c r="DK9">
        <v>5.65194390431851</v>
      </c>
      <c r="DL9">
        <v>3.06942208885126</v>
      </c>
      <c r="DM9">
        <v>1.44710409482816E-2</v>
      </c>
      <c r="DN9">
        <v>6.1625507639022699E-2</v>
      </c>
      <c r="DO9">
        <v>0.9</v>
      </c>
      <c r="DP9">
        <v>17.326203208556102</v>
      </c>
      <c r="DQ9">
        <v>0.121134136566589</v>
      </c>
      <c r="DR9">
        <v>-0.106376218398662</v>
      </c>
      <c r="DS9" s="3">
        <v>0</v>
      </c>
      <c r="DT9" s="3">
        <v>0</v>
      </c>
      <c r="DU9" s="3">
        <v>7.9568373379027297E-3</v>
      </c>
      <c r="DV9" s="3">
        <v>7.7383941968321704E-3</v>
      </c>
      <c r="DW9" s="3">
        <v>8.2181917992755395E-3</v>
      </c>
      <c r="DX9" s="5">
        <v>5.6475808579374398E-2</v>
      </c>
      <c r="DY9" s="5">
        <v>5.7402754410111098E-2</v>
      </c>
      <c r="DZ9" s="5">
        <v>5.5548862748637698E-2</v>
      </c>
      <c r="EA9">
        <v>3.8364015693792801</v>
      </c>
      <c r="EB9">
        <v>3.1450059876796002</v>
      </c>
      <c r="EC9">
        <v>4.6792193814298804</v>
      </c>
      <c r="ED9">
        <v>4.1744363937192404</v>
      </c>
      <c r="EE9">
        <v>4.1744363937192404</v>
      </c>
      <c r="EF9">
        <v>4.1744363937192404</v>
      </c>
    </row>
    <row r="10" spans="1:136" x14ac:dyDescent="0.2">
      <c r="A10" t="s">
        <v>96</v>
      </c>
      <c r="B10">
        <v>1.89407637999308</v>
      </c>
      <c r="C10">
        <v>1.8478947765093301</v>
      </c>
      <c r="D10">
        <v>1.9455510301991801</v>
      </c>
      <c r="E10">
        <v>2.5830142294434002</v>
      </c>
      <c r="F10">
        <v>1.96342687021997</v>
      </c>
      <c r="G10">
        <v>3.4360582827766799</v>
      </c>
      <c r="H10">
        <v>0</v>
      </c>
      <c r="I10">
        <v>0</v>
      </c>
      <c r="J10">
        <v>0</v>
      </c>
      <c r="K10">
        <v>4.4770906094364804</v>
      </c>
      <c r="L10">
        <v>3.8522784736975599</v>
      </c>
      <c r="M10">
        <v>5.3324641033984603</v>
      </c>
      <c r="N10">
        <v>3.8266224741090502</v>
      </c>
      <c r="O10" s="20">
        <v>2.9742497914967898</v>
      </c>
      <c r="P10" s="20">
        <v>5.0812800576257304</v>
      </c>
      <c r="Q10" s="20">
        <v>0</v>
      </c>
      <c r="R10">
        <v>0.922322870866917</v>
      </c>
      <c r="S10" s="12">
        <v>9.2260359544124508</v>
      </c>
      <c r="T10" s="6">
        <v>7.9750555975093196</v>
      </c>
      <c r="U10" s="6">
        <v>10.849985190900099</v>
      </c>
      <c r="V10" s="7">
        <v>1000</v>
      </c>
      <c r="W10" s="21">
        <v>0.19681256083967899</v>
      </c>
      <c r="X10" s="21">
        <v>20.646401600000001</v>
      </c>
      <c r="Y10" s="8">
        <v>39.524999999999999</v>
      </c>
      <c r="Z10" s="7">
        <v>245.23327540106999</v>
      </c>
      <c r="AA10" s="7">
        <v>33090</v>
      </c>
      <c r="AB10" s="7">
        <v>238974</v>
      </c>
      <c r="AC10" s="6">
        <v>1.99587797622094</v>
      </c>
      <c r="AD10">
        <v>48</v>
      </c>
      <c r="AE10">
        <v>45.290999999999997</v>
      </c>
      <c r="AF10">
        <v>27</v>
      </c>
      <c r="AG10">
        <v>8.0830000000000002</v>
      </c>
      <c r="AH10">
        <v>63</v>
      </c>
      <c r="AI10" s="4">
        <v>34</v>
      </c>
      <c r="AJ10" s="4">
        <v>9.2560000000000002</v>
      </c>
      <c r="AK10" s="4">
        <v>2.81639925086</v>
      </c>
      <c r="AL10" s="6" t="s">
        <v>37</v>
      </c>
      <c r="AM10" s="11" t="s">
        <v>36</v>
      </c>
      <c r="AN10" s="12" t="s">
        <v>296</v>
      </c>
      <c r="AO10" s="12" t="s">
        <v>37</v>
      </c>
      <c r="AP10" s="12">
        <v>119733</v>
      </c>
      <c r="AQ10">
        <v>7.2219675493093698</v>
      </c>
      <c r="AR10">
        <v>0.37211076458539299</v>
      </c>
      <c r="AS10">
        <v>7.3236072494061999E-2</v>
      </c>
      <c r="AT10" s="12">
        <v>6.2237596438384597E-3</v>
      </c>
      <c r="AU10" s="2">
        <f t="shared" si="0"/>
        <v>0.4230596486032438</v>
      </c>
      <c r="AV10" s="2">
        <f t="shared" si="1"/>
        <v>0.57694035139675615</v>
      </c>
      <c r="AW10" s="2">
        <v>0</v>
      </c>
      <c r="AX10" s="3">
        <v>7.7235700452778899E-3</v>
      </c>
      <c r="AY10" s="3">
        <v>7.2174921414819302E-3</v>
      </c>
      <c r="AZ10" s="3">
        <v>8.2876514350481399E-3</v>
      </c>
      <c r="BA10" s="3">
        <v>1.0532886392431801E-2</v>
      </c>
      <c r="BB10" s="3">
        <v>3.7431812215278099E-3</v>
      </c>
      <c r="BC10" s="3">
        <v>1.98809105793444E-2</v>
      </c>
      <c r="BD10" s="3">
        <v>0</v>
      </c>
      <c r="BE10" s="3">
        <v>0</v>
      </c>
      <c r="BF10" s="3">
        <v>0</v>
      </c>
      <c r="BG10" s="3">
        <v>1.8256456437709599E-2</v>
      </c>
      <c r="BH10" s="3">
        <v>1.57086287225798E-2</v>
      </c>
      <c r="BI10" s="3">
        <v>2.1744455741894798E-2</v>
      </c>
      <c r="BJ10" s="3">
        <v>3.7621468535718197E-2</v>
      </c>
      <c r="BK10" s="3">
        <v>-5.1011852076648396E-3</v>
      </c>
      <c r="BL10" s="3">
        <v>6.62205907347483E-3</v>
      </c>
      <c r="BM10" s="3">
        <v>3.2520283328053297E-2</v>
      </c>
      <c r="BN10" s="3">
        <v>4.4243527609192999E-2</v>
      </c>
      <c r="BO10" s="3">
        <v>1.56040099690825E-2</v>
      </c>
      <c r="BP10" s="3">
        <v>1.21282472235162E-2</v>
      </c>
      <c r="BQ10" s="3">
        <v>2.0720189987739199E-2</v>
      </c>
      <c r="BR10" s="3">
        <v>0</v>
      </c>
      <c r="BS10" s="3">
        <v>0</v>
      </c>
      <c r="BT10" s="3">
        <v>0</v>
      </c>
      <c r="BU10" s="3">
        <v>3.7610021289259899E-3</v>
      </c>
      <c r="BV10" s="3">
        <v>3.0840217457193098E-3</v>
      </c>
      <c r="BW10" s="3">
        <v>4.4379825121326696E-3</v>
      </c>
      <c r="BX10" s="3">
        <v>1.9365012098008502E-2</v>
      </c>
      <c r="BY10" s="3">
        <v>1.52122689692355E-2</v>
      </c>
      <c r="BZ10" s="3">
        <v>2.51581724998719E-2</v>
      </c>
      <c r="CA10">
        <v>4.0089198466588199E-4</v>
      </c>
      <c r="CB10" s="3">
        <v>3.7826664328130099E-4</v>
      </c>
      <c r="CC10">
        <v>0.98765233296839905</v>
      </c>
      <c r="CD10">
        <v>16579</v>
      </c>
      <c r="CE10">
        <v>1.6285662585198101E-3</v>
      </c>
      <c r="CF10" s="5">
        <v>2.4427319431852501E-4</v>
      </c>
      <c r="CG10" s="5">
        <v>4.8754448398576501E-4</v>
      </c>
      <c r="CH10" s="13">
        <v>6.40963670355245</v>
      </c>
      <c r="CI10" s="13">
        <v>5.55726402094019</v>
      </c>
      <c r="CJ10" s="12">
        <v>7.6642942870691302</v>
      </c>
      <c r="CK10" s="13">
        <v>6.40963670355245</v>
      </c>
      <c r="CL10" s="13">
        <v>5.55726402094019</v>
      </c>
      <c r="CM10">
        <v>7.6642942870691302</v>
      </c>
      <c r="CN10">
        <v>2.81639925086</v>
      </c>
      <c r="CO10">
        <v>2.6041995306202002</v>
      </c>
      <c r="CP10">
        <v>3.03389201782214</v>
      </c>
      <c r="CQ10" t="s">
        <v>66</v>
      </c>
      <c r="CR10" t="s">
        <v>66</v>
      </c>
      <c r="CS10" t="s">
        <v>66</v>
      </c>
      <c r="CT10">
        <v>2.91396113450286</v>
      </c>
      <c r="CU10">
        <v>2.23127427816374</v>
      </c>
      <c r="CV10">
        <v>3.8446759177885101</v>
      </c>
      <c r="CW10">
        <v>0.68784332947059201</v>
      </c>
      <c r="CX10">
        <v>0.43188942222632698</v>
      </c>
      <c r="CY10">
        <v>1.6933960891961199</v>
      </c>
      <c r="CZ10">
        <v>0.22481801013560801</v>
      </c>
      <c r="DA10">
        <v>0.155758010679478</v>
      </c>
      <c r="DB10">
        <v>0.28740108959754801</v>
      </c>
      <c r="DC10">
        <v>0</v>
      </c>
      <c r="DD10">
        <v>0</v>
      </c>
      <c r="DE10">
        <v>0</v>
      </c>
      <c r="DF10">
        <v>0.69471808358125497</v>
      </c>
      <c r="DG10">
        <v>0.69471808358125497</v>
      </c>
      <c r="DH10">
        <v>0.30528191641874503</v>
      </c>
      <c r="DI10">
        <v>0.51473029147943905</v>
      </c>
      <c r="DJ10">
        <v>0.41475640864257401</v>
      </c>
      <c r="DK10">
        <v>4.4770906094364804</v>
      </c>
      <c r="DL10">
        <v>2.3345777969464798</v>
      </c>
      <c r="DM10">
        <v>1.4791801399425099E-2</v>
      </c>
      <c r="DN10">
        <v>6.1625507639022699E-2</v>
      </c>
      <c r="DO10">
        <v>0.9</v>
      </c>
      <c r="DP10">
        <v>17.326203208556102</v>
      </c>
      <c r="DQ10">
        <v>0.176061057128749</v>
      </c>
      <c r="DR10">
        <v>-0.13556639843277299</v>
      </c>
      <c r="DS10" s="3">
        <v>0</v>
      </c>
      <c r="DT10" s="3">
        <v>0</v>
      </c>
      <c r="DU10" s="3">
        <v>7.8201421083252103E-3</v>
      </c>
      <c r="DV10" s="3">
        <v>7.6168604963566004E-3</v>
      </c>
      <c r="DW10" s="3">
        <v>8.0565943987481597E-3</v>
      </c>
      <c r="DX10" s="5">
        <v>5.6475808579374398E-2</v>
      </c>
      <c r="DY10" s="5">
        <v>5.7402754410111098E-2</v>
      </c>
      <c r="DZ10" s="5">
        <v>5.5548862748637698E-2</v>
      </c>
      <c r="EA10">
        <v>2.5787795906119402</v>
      </c>
      <c r="EB10">
        <v>1.95638014637233</v>
      </c>
      <c r="EC10">
        <v>3.4320674835380198</v>
      </c>
      <c r="ED10">
        <v>3.8266224741090502</v>
      </c>
      <c r="EE10">
        <v>3.8266224741090502</v>
      </c>
      <c r="EF10">
        <v>3.8266224741090502</v>
      </c>
    </row>
    <row r="11" spans="1:136" x14ac:dyDescent="0.2">
      <c r="A11" t="s">
        <v>98</v>
      </c>
      <c r="B11">
        <v>1.7289645891568399</v>
      </c>
      <c r="C11">
        <v>1.66681522224352</v>
      </c>
      <c r="D11">
        <v>1.7969908889970001</v>
      </c>
      <c r="E11">
        <v>1.74284103219817</v>
      </c>
      <c r="F11">
        <v>1.30377214358093</v>
      </c>
      <c r="G11">
        <v>2.2675445392588101</v>
      </c>
      <c r="H11">
        <v>0</v>
      </c>
      <c r="I11">
        <v>0</v>
      </c>
      <c r="J11">
        <v>0</v>
      </c>
      <c r="K11">
        <v>3.4718056213550099</v>
      </c>
      <c r="L11">
        <v>3.0245576865399602</v>
      </c>
      <c r="M11">
        <v>3.9939013712704998</v>
      </c>
      <c r="N11">
        <v>0.78305004386989396</v>
      </c>
      <c r="O11" s="20">
        <v>0.53935305531514799</v>
      </c>
      <c r="P11" s="20">
        <v>1.04034860726987</v>
      </c>
      <c r="Q11" s="20">
        <v>0</v>
      </c>
      <c r="R11">
        <v>0.74474802017904296</v>
      </c>
      <c r="S11" s="12">
        <v>4.9996036854039501</v>
      </c>
      <c r="T11" s="6">
        <v>4.3676606303941199</v>
      </c>
      <c r="U11" s="6">
        <v>5.7445127186395197</v>
      </c>
      <c r="V11" s="7">
        <v>1000</v>
      </c>
      <c r="W11" s="21">
        <v>0.11192146459737499</v>
      </c>
      <c r="X11" s="21">
        <v>15.958829700000001</v>
      </c>
      <c r="Y11" s="8">
        <v>22.966999999999999</v>
      </c>
      <c r="Z11" s="7">
        <v>198.01850534759399</v>
      </c>
      <c r="AA11" s="7">
        <v>33418</v>
      </c>
      <c r="AB11" s="7">
        <v>119340</v>
      </c>
      <c r="AC11" s="6">
        <v>1.99587797622094</v>
      </c>
      <c r="AD11">
        <v>47</v>
      </c>
      <c r="AE11">
        <v>41.277999999999999</v>
      </c>
      <c r="AF11">
        <v>35</v>
      </c>
      <c r="AG11">
        <v>15.731999999999999</v>
      </c>
      <c r="AH11">
        <v>17</v>
      </c>
      <c r="AI11" s="4">
        <v>12</v>
      </c>
      <c r="AJ11" s="4">
        <v>6.2939999999999996</v>
      </c>
      <c r="AK11" s="4">
        <v>2.4737126093358901</v>
      </c>
      <c r="AL11" s="6" t="s">
        <v>37</v>
      </c>
      <c r="AM11" s="11" t="s">
        <v>36</v>
      </c>
      <c r="AN11" s="12" t="s">
        <v>296</v>
      </c>
      <c r="AO11" s="12" t="s">
        <v>37</v>
      </c>
      <c r="AP11" s="12">
        <v>59793</v>
      </c>
      <c r="AQ11">
        <v>3.5712237950188102</v>
      </c>
      <c r="AR11">
        <v>0.52916543291403595</v>
      </c>
      <c r="AS11">
        <v>5.9224970266043002E-2</v>
      </c>
      <c r="AT11" s="12">
        <v>3.53926747189605E-3</v>
      </c>
      <c r="AU11" s="2">
        <f t="shared" si="0"/>
        <v>0.49800155242621069</v>
      </c>
      <c r="AV11" s="2">
        <f t="shared" si="1"/>
        <v>0.50199844757378931</v>
      </c>
      <c r="AW11" s="2">
        <v>0</v>
      </c>
      <c r="AX11" s="3">
        <v>8.7313283479334008E-3</v>
      </c>
      <c r="AY11" s="3">
        <v>8.1382125876811005E-3</v>
      </c>
      <c r="AZ11" s="3">
        <v>9.3805299818472705E-3</v>
      </c>
      <c r="BA11" s="3">
        <v>8.8014048441526094E-3</v>
      </c>
      <c r="BB11" s="3">
        <v>4.6111984010438296E-3</v>
      </c>
      <c r="BC11" s="3">
        <v>1.38088560050203E-2</v>
      </c>
      <c r="BD11" s="3">
        <v>0</v>
      </c>
      <c r="BE11" s="3">
        <v>0</v>
      </c>
      <c r="BF11" s="3">
        <v>0</v>
      </c>
      <c r="BG11" s="3">
        <v>1.7532733192086002E-2</v>
      </c>
      <c r="BH11" s="3">
        <v>1.5274116331858901E-2</v>
      </c>
      <c r="BI11" s="3">
        <v>2.0169333993607201E-2</v>
      </c>
      <c r="BJ11" s="3">
        <v>2.5248163936132401E-2</v>
      </c>
      <c r="BK11" s="3">
        <v>-3.1913333246331699E-3</v>
      </c>
      <c r="BL11" s="3">
        <v>3.7618152501857601E-3</v>
      </c>
      <c r="BM11" s="3">
        <v>2.2056830611499201E-2</v>
      </c>
      <c r="BN11" s="3">
        <v>2.9009979186318199E-2</v>
      </c>
      <c r="BO11" s="3">
        <v>3.9544286151203898E-3</v>
      </c>
      <c r="BP11" s="3">
        <v>2.7237507644469398E-3</v>
      </c>
      <c r="BQ11" s="3">
        <v>5.2537948685335697E-3</v>
      </c>
      <c r="BR11" s="3">
        <v>0</v>
      </c>
      <c r="BS11" s="3">
        <v>0</v>
      </c>
      <c r="BT11" s="3">
        <v>0</v>
      </c>
      <c r="BU11" s="3">
        <v>3.7610021289259899E-3</v>
      </c>
      <c r="BV11" s="3">
        <v>3.0840217457193098E-3</v>
      </c>
      <c r="BW11" s="3">
        <v>4.4379825121326696E-3</v>
      </c>
      <c r="BX11" s="3">
        <v>7.7154307440463797E-3</v>
      </c>
      <c r="BY11" s="3">
        <v>5.8077725101662496E-3</v>
      </c>
      <c r="BZ11" s="3">
        <v>9.6917773806662402E-3</v>
      </c>
      <c r="CA11">
        <v>7.8604518923619797E-4</v>
      </c>
      <c r="CB11" s="3">
        <v>6.90348368538123E-4</v>
      </c>
      <c r="CC11">
        <v>0.96016776099219503</v>
      </c>
      <c r="CD11">
        <v>16743</v>
      </c>
      <c r="CE11">
        <v>2.0904258496087899E-3</v>
      </c>
      <c r="CF11" s="5">
        <v>4.7076425878269198E-4</v>
      </c>
      <c r="CG11" s="5">
        <v>9.3961655617272896E-4</v>
      </c>
      <c r="CH11" s="13">
        <v>2.52589107606806</v>
      </c>
      <c r="CI11" s="13">
        <v>2.2821940875133202</v>
      </c>
      <c r="CJ11" s="12">
        <v>2.78318963946804</v>
      </c>
      <c r="CK11" s="13">
        <v>2.52589107606806</v>
      </c>
      <c r="CL11" s="13">
        <v>2.2821940875133202</v>
      </c>
      <c r="CM11">
        <v>2.78318963946804</v>
      </c>
      <c r="CN11">
        <v>2.4737126093358901</v>
      </c>
      <c r="CO11">
        <v>2.2775085987903299</v>
      </c>
      <c r="CP11">
        <v>2.6757935528082699</v>
      </c>
      <c r="CQ11" t="s">
        <v>66</v>
      </c>
      <c r="CR11" t="s">
        <v>66</v>
      </c>
      <c r="CS11" t="s">
        <v>66</v>
      </c>
      <c r="CT11">
        <v>0.53186871205518405</v>
      </c>
      <c r="CU11">
        <v>0.359249075413476</v>
      </c>
      <c r="CV11">
        <v>0.75512911839335595</v>
      </c>
      <c r="CW11">
        <v>0.25118133181471097</v>
      </c>
      <c r="CX11">
        <v>0.12527535193372799</v>
      </c>
      <c r="CY11">
        <v>0.41111971720434298</v>
      </c>
      <c r="CZ11">
        <v>0</v>
      </c>
      <c r="DA11">
        <v>0</v>
      </c>
      <c r="DB11">
        <v>0</v>
      </c>
      <c r="DC11">
        <v>0</v>
      </c>
      <c r="DD11">
        <v>0</v>
      </c>
      <c r="DE11">
        <v>0</v>
      </c>
      <c r="DF11">
        <v>0.50520962561863203</v>
      </c>
      <c r="DG11">
        <v>0.50520962561863203</v>
      </c>
      <c r="DH11">
        <v>0.49479037438136803</v>
      </c>
      <c r="DI11">
        <v>0.30558614272926199</v>
      </c>
      <c r="DJ11">
        <v>0.15662151839129901</v>
      </c>
      <c r="DK11">
        <v>3.4718056213550099</v>
      </c>
      <c r="DL11">
        <v>1.9280618567033501</v>
      </c>
      <c r="DM11">
        <v>1.1826942922271599E-2</v>
      </c>
      <c r="DN11">
        <v>6.1625507639022699E-2</v>
      </c>
      <c r="DO11">
        <v>0.9</v>
      </c>
      <c r="DP11">
        <v>17.326203208556102</v>
      </c>
      <c r="DQ11">
        <v>0.148951328214497</v>
      </c>
      <c r="DR11">
        <v>-0.126392435336565</v>
      </c>
      <c r="DS11" s="3">
        <v>0</v>
      </c>
      <c r="DT11" s="3">
        <v>0</v>
      </c>
      <c r="DU11" s="3">
        <v>9.0935976947169803E-3</v>
      </c>
      <c r="DV11" s="3">
        <v>8.7149041697489205E-3</v>
      </c>
      <c r="DW11" s="3">
        <v>9.4851695712553606E-3</v>
      </c>
      <c r="DX11" s="5">
        <v>5.6475808579374398E-2</v>
      </c>
      <c r="DY11" s="5">
        <v>5.7402754410111098E-2</v>
      </c>
      <c r="DZ11" s="5">
        <v>5.5548862748637698E-2</v>
      </c>
      <c r="EA11">
        <v>1.75272871312224</v>
      </c>
      <c r="EB11">
        <v>1.30836546448505</v>
      </c>
      <c r="EC11">
        <v>2.2787194350944202</v>
      </c>
      <c r="ED11">
        <v>0.78305004386989396</v>
      </c>
      <c r="EE11">
        <v>0.78305004386989396</v>
      </c>
      <c r="EF11">
        <v>0.78305004386989396</v>
      </c>
    </row>
    <row r="12" spans="1:136" x14ac:dyDescent="0.2">
      <c r="A12" t="s">
        <v>99</v>
      </c>
      <c r="B12">
        <v>12.231210603509099</v>
      </c>
      <c r="C12">
        <v>11.93871606872</v>
      </c>
      <c r="D12">
        <v>12.5424334750121</v>
      </c>
      <c r="E12">
        <v>2.27003599166741</v>
      </c>
      <c r="F12">
        <v>1.64452065473195</v>
      </c>
      <c r="G12">
        <v>3.0319764653619101</v>
      </c>
      <c r="H12">
        <v>0</v>
      </c>
      <c r="I12">
        <v>0</v>
      </c>
      <c r="J12">
        <v>0</v>
      </c>
      <c r="K12">
        <v>14.5012465951766</v>
      </c>
      <c r="L12">
        <v>13.761864326643</v>
      </c>
      <c r="M12">
        <v>15.305016129182</v>
      </c>
      <c r="N12">
        <v>0.69206906129443801</v>
      </c>
      <c r="O12" s="20">
        <v>0.45026154796151202</v>
      </c>
      <c r="P12" s="20">
        <v>1.0331310200314401</v>
      </c>
      <c r="Q12" s="20">
        <v>0</v>
      </c>
      <c r="R12">
        <v>6.2465240391779702</v>
      </c>
      <c r="S12" s="12">
        <v>21.439839695648999</v>
      </c>
      <c r="T12" s="6">
        <v>19.5230457163639</v>
      </c>
      <c r="U12" s="6">
        <v>23.400043406963199</v>
      </c>
      <c r="V12" s="7">
        <v>1000</v>
      </c>
      <c r="W12" s="21">
        <v>4.6460141740188803E-2</v>
      </c>
      <c r="X12" s="21">
        <v>11.1023447</v>
      </c>
      <c r="Y12" s="8">
        <v>75.256</v>
      </c>
      <c r="Z12" s="7">
        <v>1997.39449106952</v>
      </c>
      <c r="AA12" s="7">
        <v>11671</v>
      </c>
      <c r="AB12" s="7">
        <v>59356</v>
      </c>
      <c r="AC12" s="6">
        <v>1.6088026118202501</v>
      </c>
      <c r="AD12">
        <v>34</v>
      </c>
      <c r="AE12">
        <v>27.18</v>
      </c>
      <c r="AF12">
        <v>27</v>
      </c>
      <c r="AG12">
        <v>8.4719999999999995</v>
      </c>
      <c r="AH12">
        <v>24</v>
      </c>
      <c r="AI12" s="4">
        <v>9</v>
      </c>
      <c r="AJ12" s="4">
        <v>4.4080000000000004</v>
      </c>
      <c r="AK12" s="4">
        <v>18.4777346426871</v>
      </c>
      <c r="AL12" s="6" t="s">
        <v>37</v>
      </c>
      <c r="AM12" s="11" t="s">
        <v>36</v>
      </c>
      <c r="AN12" s="12" t="s">
        <v>296</v>
      </c>
      <c r="AO12" s="12" t="s">
        <v>37</v>
      </c>
      <c r="AP12" s="12">
        <v>36894</v>
      </c>
      <c r="AQ12">
        <v>5.0860215053763396</v>
      </c>
      <c r="AR12">
        <v>0.44341553440561798</v>
      </c>
      <c r="AS12">
        <v>2.0601148578286599E-2</v>
      </c>
      <c r="AT12" s="12">
        <v>1.46919868313255E-3</v>
      </c>
      <c r="AU12" s="2">
        <f t="shared" si="0"/>
        <v>0.84345925181200909</v>
      </c>
      <c r="AV12" s="2">
        <f t="shared" si="1"/>
        <v>0.15654074818798466</v>
      </c>
      <c r="AW12" s="2">
        <v>0</v>
      </c>
      <c r="AX12" s="3">
        <v>6.1235828266252299E-3</v>
      </c>
      <c r="AY12" s="3">
        <v>5.7933326913844098E-3</v>
      </c>
      <c r="AZ12" s="3">
        <v>6.4749787782725603E-3</v>
      </c>
      <c r="BA12" s="3">
        <v>1.1364985744262801E-3</v>
      </c>
      <c r="BB12" s="3">
        <v>4.3024084975783102E-4</v>
      </c>
      <c r="BC12" s="3">
        <v>1.9967913818267698E-3</v>
      </c>
      <c r="BD12" s="3">
        <v>0</v>
      </c>
      <c r="BE12" s="3">
        <v>0</v>
      </c>
      <c r="BF12" s="3">
        <v>0</v>
      </c>
      <c r="BG12" s="3">
        <v>7.2600814010515E-3</v>
      </c>
      <c r="BH12" s="3">
        <v>6.88990802176197E-3</v>
      </c>
      <c r="BI12" s="3">
        <v>7.6624904081851204E-3</v>
      </c>
      <c r="BJ12" s="3">
        <v>1.07339034885236E-2</v>
      </c>
      <c r="BK12" s="3">
        <v>-9.5964717428387802E-4</v>
      </c>
      <c r="BL12" s="3">
        <v>9.81380353294469E-4</v>
      </c>
      <c r="BM12" s="3">
        <v>9.7742563142397404E-3</v>
      </c>
      <c r="BN12" s="3">
        <v>1.17152838418181E-2</v>
      </c>
      <c r="BO12" s="3">
        <v>3.46485916722372E-4</v>
      </c>
      <c r="BP12" s="3">
        <v>2.2542444668524999E-4</v>
      </c>
      <c r="BQ12" s="3">
        <v>5.1723934588316896E-4</v>
      </c>
      <c r="BR12" s="3">
        <v>0</v>
      </c>
      <c r="BS12" s="3">
        <v>0</v>
      </c>
      <c r="BT12" s="3">
        <v>0</v>
      </c>
      <c r="BU12" s="3">
        <v>3.12733617074974E-3</v>
      </c>
      <c r="BV12" s="3">
        <v>2.5644156600147898E-3</v>
      </c>
      <c r="BW12" s="3">
        <v>3.6902566814846901E-3</v>
      </c>
      <c r="BX12" s="3">
        <v>3.47382208747211E-3</v>
      </c>
      <c r="BY12" s="3">
        <v>2.7898401067000399E-3</v>
      </c>
      <c r="BZ12" s="3">
        <v>4.2074960273678604E-3</v>
      </c>
      <c r="CA12">
        <v>9.2155906109394497E-4</v>
      </c>
      <c r="CB12" s="3">
        <v>7.3670515530980705E-4</v>
      </c>
      <c r="CC12">
        <v>0.976919599642326</v>
      </c>
      <c r="CD12">
        <v>7254</v>
      </c>
      <c r="CE12">
        <v>3.7220843672456602E-3</v>
      </c>
      <c r="CF12" s="5">
        <v>7.25901807899923E-4</v>
      </c>
      <c r="CG12" s="5">
        <v>1.16790736145575E-3</v>
      </c>
      <c r="CH12" s="13">
        <v>2.9621050529618498</v>
      </c>
      <c r="CI12" s="13">
        <v>2.72029753962893</v>
      </c>
      <c r="CJ12" s="12">
        <v>3.3031670116988598</v>
      </c>
      <c r="CK12" s="13">
        <v>2.9621050529618498</v>
      </c>
      <c r="CL12" s="13">
        <v>2.72029753962893</v>
      </c>
      <c r="CM12">
        <v>3.3031670116988598</v>
      </c>
      <c r="CN12">
        <v>18.4777346426871</v>
      </c>
      <c r="CO12">
        <v>17.060865780845901</v>
      </c>
      <c r="CP12">
        <v>19.913331841242101</v>
      </c>
      <c r="CQ12" t="s">
        <v>66</v>
      </c>
      <c r="CR12" t="s">
        <v>66</v>
      </c>
      <c r="CS12" t="s">
        <v>66</v>
      </c>
      <c r="CT12">
        <v>0.213255360023306</v>
      </c>
      <c r="CU12">
        <v>0.122696822876713</v>
      </c>
      <c r="CV12">
        <v>0.40544493069974902</v>
      </c>
      <c r="CW12">
        <v>0.25055745863621598</v>
      </c>
      <c r="CX12">
        <v>0.13600657683635101</v>
      </c>
      <c r="CY12">
        <v>0.44424579736543401</v>
      </c>
      <c r="CZ12">
        <v>0.22825624263491601</v>
      </c>
      <c r="DA12">
        <v>0.125959793958486</v>
      </c>
      <c r="DB12">
        <v>0.48481498695465203</v>
      </c>
      <c r="DC12">
        <v>0</v>
      </c>
      <c r="DD12">
        <v>0</v>
      </c>
      <c r="DE12">
        <v>0</v>
      </c>
      <c r="DF12">
        <v>0.138157374131681</v>
      </c>
      <c r="DG12">
        <v>0.138157374131681</v>
      </c>
      <c r="DH12">
        <v>0.86184262586831895</v>
      </c>
      <c r="DI12">
        <v>0.32363203288083903</v>
      </c>
      <c r="DJ12">
        <v>3.2279503650711E-2</v>
      </c>
      <c r="DK12">
        <v>14.5012465951766</v>
      </c>
      <c r="DL12">
        <v>1.1582274168820901</v>
      </c>
      <c r="DM12">
        <v>0.27535077075675701</v>
      </c>
      <c r="DN12">
        <v>9.7082922446813796E-3</v>
      </c>
      <c r="DO12">
        <v>0.9</v>
      </c>
      <c r="DP12">
        <v>17.326203208556102</v>
      </c>
      <c r="DQ12">
        <v>9.1429316833448293E-2</v>
      </c>
      <c r="DR12">
        <v>-8.9403223947701102E-2</v>
      </c>
      <c r="DS12" s="3">
        <v>0</v>
      </c>
      <c r="DT12" s="3">
        <v>0</v>
      </c>
      <c r="DU12" s="3">
        <v>6.2682849024840101E-3</v>
      </c>
      <c r="DV12" s="3">
        <v>6.10372670820436E-3</v>
      </c>
      <c r="DW12" s="3">
        <v>6.44194733661488E-3</v>
      </c>
      <c r="DX12" s="5">
        <v>5.4262313508968698E-3</v>
      </c>
      <c r="DY12" s="5">
        <v>6.19700231177808E-3</v>
      </c>
      <c r="DZ12" s="5">
        <v>4.6554603900156597E-3</v>
      </c>
      <c r="EA12">
        <v>2.3137271047172301</v>
      </c>
      <c r="EB12">
        <v>1.6887056164755101</v>
      </c>
      <c r="EC12">
        <v>3.0717352430775602</v>
      </c>
      <c r="ED12">
        <v>0.69206906129443801</v>
      </c>
      <c r="EE12">
        <v>0.69206906129443801</v>
      </c>
      <c r="EF12">
        <v>0.69206906129443801</v>
      </c>
    </row>
    <row r="13" spans="1:136" x14ac:dyDescent="0.2">
      <c r="A13" t="s">
        <v>100</v>
      </c>
      <c r="B13">
        <v>12.325245874541899</v>
      </c>
      <c r="C13">
        <v>12.044993905534101</v>
      </c>
      <c r="D13">
        <v>12.5997623924167</v>
      </c>
      <c r="E13">
        <v>2.2936578561306602</v>
      </c>
      <c r="F13">
        <v>1.5677798311354301</v>
      </c>
      <c r="G13">
        <v>3.2225259739494301</v>
      </c>
      <c r="H13">
        <v>0</v>
      </c>
      <c r="I13">
        <v>0</v>
      </c>
      <c r="J13">
        <v>0</v>
      </c>
      <c r="K13">
        <v>14.6189037306725</v>
      </c>
      <c r="L13">
        <v>13.8552717735505</v>
      </c>
      <c r="M13">
        <v>15.577143365624099</v>
      </c>
      <c r="N13">
        <v>2.3243964295166699</v>
      </c>
      <c r="O13" s="20">
        <v>1.5381348463355899</v>
      </c>
      <c r="P13" s="20">
        <v>4.0793650603714902</v>
      </c>
      <c r="Q13" s="20">
        <v>0</v>
      </c>
      <c r="R13">
        <v>6.1693766305727804</v>
      </c>
      <c r="S13" s="12">
        <v>23.112676790761999</v>
      </c>
      <c r="T13" s="6">
        <v>20.7563459967167</v>
      </c>
      <c r="U13" s="6">
        <v>26.1694704900567</v>
      </c>
      <c r="V13" s="7">
        <v>1000</v>
      </c>
      <c r="W13" s="21">
        <v>8.9241130402885796E-2</v>
      </c>
      <c r="X13" s="21">
        <v>10.160212599999999</v>
      </c>
      <c r="Y13" s="8">
        <v>66.296000000000006</v>
      </c>
      <c r="Z13" s="7">
        <v>1972.72576203209</v>
      </c>
      <c r="AA13" s="7">
        <v>11688</v>
      </c>
      <c r="AB13" s="7">
        <v>67811</v>
      </c>
      <c r="AC13" s="6">
        <v>1.6088026118202501</v>
      </c>
      <c r="AD13">
        <v>40</v>
      </c>
      <c r="AE13">
        <v>31.573</v>
      </c>
      <c r="AF13">
        <v>33</v>
      </c>
      <c r="AG13">
        <v>8.4760000000000009</v>
      </c>
      <c r="AH13">
        <v>29</v>
      </c>
      <c r="AI13" s="4">
        <v>21</v>
      </c>
      <c r="AJ13" s="4">
        <v>7.1050000000000004</v>
      </c>
      <c r="AK13" s="4">
        <v>18.494622505114599</v>
      </c>
      <c r="AL13" s="6" t="s">
        <v>37</v>
      </c>
      <c r="AM13" s="11" t="s">
        <v>36</v>
      </c>
      <c r="AN13" s="12" t="s">
        <v>296</v>
      </c>
      <c r="AO13" s="12" t="s">
        <v>37</v>
      </c>
      <c r="AP13" s="12">
        <v>42149</v>
      </c>
      <c r="AQ13">
        <v>5.8016517549896802</v>
      </c>
      <c r="AR13">
        <v>0.41516828655555399</v>
      </c>
      <c r="AS13">
        <v>3.7050087199646899E-2</v>
      </c>
      <c r="AT13" s="12">
        <v>2.82205233041219E-3</v>
      </c>
      <c r="AU13" s="2">
        <f t="shared" si="0"/>
        <v>0.84310329294267217</v>
      </c>
      <c r="AV13" s="2">
        <f t="shared" si="1"/>
        <v>0.15689670705733194</v>
      </c>
      <c r="AW13" s="2">
        <v>0</v>
      </c>
      <c r="AX13" s="3">
        <v>6.2478252739223798E-3</v>
      </c>
      <c r="AY13" s="3">
        <v>5.9056427819372597E-3</v>
      </c>
      <c r="AZ13" s="3">
        <v>6.5830048857199001E-3</v>
      </c>
      <c r="BA13" s="3">
        <v>1.16268459624514E-3</v>
      </c>
      <c r="BB13" s="3">
        <v>2.76400898223134E-4</v>
      </c>
      <c r="BC13" s="3">
        <v>2.2968154585764101E-3</v>
      </c>
      <c r="BD13" s="3">
        <v>0</v>
      </c>
      <c r="BE13" s="3">
        <v>0</v>
      </c>
      <c r="BF13" s="3">
        <v>0</v>
      </c>
      <c r="BG13" s="3">
        <v>7.4105098701675197E-3</v>
      </c>
      <c r="BH13" s="3">
        <v>7.0234150332574704E-3</v>
      </c>
      <c r="BI13" s="3">
        <v>7.8962538358997494E-3</v>
      </c>
      <c r="BJ13" s="3">
        <v>1.17161124144057E-2</v>
      </c>
      <c r="BK13" s="3">
        <v>-1.1944543126045099E-3</v>
      </c>
      <c r="BL13" s="3">
        <v>1.5495279466244401E-3</v>
      </c>
      <c r="BM13" s="3">
        <v>1.05216581018011E-2</v>
      </c>
      <c r="BN13" s="3">
        <v>1.32656403610301E-2</v>
      </c>
      <c r="BO13" s="3">
        <v>1.17826637348839E-3</v>
      </c>
      <c r="BP13" s="3">
        <v>7.7970028877768105E-4</v>
      </c>
      <c r="BQ13" s="3">
        <v>2.06788248974322E-3</v>
      </c>
      <c r="BR13" s="3">
        <v>0</v>
      </c>
      <c r="BS13" s="3">
        <v>0</v>
      </c>
      <c r="BT13" s="3">
        <v>0</v>
      </c>
      <c r="BU13" s="3">
        <v>3.12733617074974E-3</v>
      </c>
      <c r="BV13" s="3">
        <v>2.5644156600147898E-3</v>
      </c>
      <c r="BW13" s="3">
        <v>3.6902566814846901E-3</v>
      </c>
      <c r="BX13" s="3">
        <v>4.3056025442381298E-3</v>
      </c>
      <c r="BY13" s="3">
        <v>3.3441159487924699E-3</v>
      </c>
      <c r="BZ13" s="3">
        <v>5.7581391712279101E-3</v>
      </c>
      <c r="CA13">
        <v>9.4901421148781704E-4</v>
      </c>
      <c r="CB13" s="3">
        <v>7.4908064248262098E-4</v>
      </c>
      <c r="CC13">
        <v>0.97362403147655396</v>
      </c>
      <c r="CD13">
        <v>7265</v>
      </c>
      <c r="CE13">
        <v>4.5423262216104602E-3</v>
      </c>
      <c r="CF13" s="5">
        <v>7.2518822724161505E-4</v>
      </c>
      <c r="CG13" s="5">
        <v>1.16668960770819E-3</v>
      </c>
      <c r="CH13" s="13">
        <v>4.6180542856473403</v>
      </c>
      <c r="CI13" s="13">
        <v>3.8317927024662501</v>
      </c>
      <c r="CJ13" s="12">
        <v>6.3730229165021504</v>
      </c>
      <c r="CK13" s="13">
        <v>4.6180542856473403</v>
      </c>
      <c r="CL13" s="13">
        <v>3.8317927024662501</v>
      </c>
      <c r="CM13">
        <v>6.3730229165021504</v>
      </c>
      <c r="CN13">
        <v>18.494622505114599</v>
      </c>
      <c r="CO13">
        <v>17.103882742603801</v>
      </c>
      <c r="CP13">
        <v>19.8796268164926</v>
      </c>
      <c r="CQ13" t="s">
        <v>66</v>
      </c>
      <c r="CR13" t="s">
        <v>66</v>
      </c>
      <c r="CS13" t="s">
        <v>66</v>
      </c>
      <c r="CT13">
        <v>1.1496302732092401</v>
      </c>
      <c r="CU13">
        <v>0.67234024250856494</v>
      </c>
      <c r="CV13">
        <v>2.8163342295109599</v>
      </c>
      <c r="CW13">
        <v>0.75031850022850899</v>
      </c>
      <c r="CX13">
        <v>0.52286886000896304</v>
      </c>
      <c r="CY13">
        <v>1.1166868597641699</v>
      </c>
      <c r="CZ13">
        <v>0.42444765607892698</v>
      </c>
      <c r="DA13">
        <v>0.24866864363014901</v>
      </c>
      <c r="DB13">
        <v>0.69552512671574396</v>
      </c>
      <c r="DC13">
        <v>0</v>
      </c>
      <c r="DD13">
        <v>0</v>
      </c>
      <c r="DE13">
        <v>0</v>
      </c>
      <c r="DF13">
        <v>0.19980273962797501</v>
      </c>
      <c r="DG13">
        <v>0.19980273962797501</v>
      </c>
      <c r="DH13">
        <v>0.80019726037202499</v>
      </c>
      <c r="DI13">
        <v>0.36749658790749001</v>
      </c>
      <c r="DJ13">
        <v>0.100568219013719</v>
      </c>
      <c r="DK13">
        <v>14.6189037306725</v>
      </c>
      <c r="DL13">
        <v>1.15481354552324</v>
      </c>
      <c r="DM13">
        <v>0.27153830172499499</v>
      </c>
      <c r="DN13">
        <v>9.7082922446813796E-3</v>
      </c>
      <c r="DO13">
        <v>0.9</v>
      </c>
      <c r="DP13">
        <v>17.326203208556102</v>
      </c>
      <c r="DQ13">
        <v>0.132252462107629</v>
      </c>
      <c r="DR13">
        <v>-0.101947379093035</v>
      </c>
      <c r="DS13" s="3">
        <v>0</v>
      </c>
      <c r="DT13" s="3">
        <v>0</v>
      </c>
      <c r="DU13" s="3">
        <v>6.4170869087256102E-3</v>
      </c>
      <c r="DV13" s="3">
        <v>6.2580725196649404E-3</v>
      </c>
      <c r="DW13" s="3">
        <v>6.5783541827113103E-3</v>
      </c>
      <c r="DX13" s="5">
        <v>5.4262313508968698E-3</v>
      </c>
      <c r="DY13" s="5">
        <v>6.19700231177808E-3</v>
      </c>
      <c r="DZ13" s="5">
        <v>4.6554603900156597E-3</v>
      </c>
      <c r="EA13">
        <v>2.3568777351033501</v>
      </c>
      <c r="EB13">
        <v>1.62792077852115</v>
      </c>
      <c r="EC13">
        <v>3.2850411453013102</v>
      </c>
      <c r="ED13">
        <v>2.3243964295166699</v>
      </c>
      <c r="EE13">
        <v>2.3243964295166699</v>
      </c>
      <c r="EF13">
        <v>2.3243964295166699</v>
      </c>
    </row>
    <row r="14" spans="1:136" x14ac:dyDescent="0.2">
      <c r="A14" t="s">
        <v>101</v>
      </c>
      <c r="B14">
        <v>11.885116746330199</v>
      </c>
      <c r="C14">
        <v>11.3854510530486</v>
      </c>
      <c r="D14">
        <v>12.3982182869292</v>
      </c>
      <c r="E14">
        <v>38.5449686432177</v>
      </c>
      <c r="F14">
        <v>32.880604451484501</v>
      </c>
      <c r="G14">
        <v>45.144811727780201</v>
      </c>
      <c r="H14">
        <v>0</v>
      </c>
      <c r="I14">
        <v>0</v>
      </c>
      <c r="J14">
        <v>0</v>
      </c>
      <c r="K14">
        <v>50.430085389547898</v>
      </c>
      <c r="L14">
        <v>44.761295288230897</v>
      </c>
      <c r="M14">
        <v>57.068069591892602</v>
      </c>
      <c r="N14">
        <v>7.8602057174684701</v>
      </c>
      <c r="O14" s="20">
        <v>5.7011457841993796</v>
      </c>
      <c r="P14" s="20">
        <v>10.2119500212938</v>
      </c>
      <c r="Q14" s="20">
        <v>0</v>
      </c>
      <c r="R14">
        <v>18.142915552524599</v>
      </c>
      <c r="S14" s="12">
        <v>76.4332066595409</v>
      </c>
      <c r="T14" s="6">
        <v>67.117502992259901</v>
      </c>
      <c r="U14" s="6">
        <v>86.318270150586798</v>
      </c>
      <c r="V14" s="7">
        <v>1000</v>
      </c>
      <c r="W14" s="21">
        <v>5.79251341012283E-2</v>
      </c>
      <c r="X14" s="21">
        <v>92.241416200000003</v>
      </c>
      <c r="Y14" s="8">
        <v>117.51900000000001</v>
      </c>
      <c r="Z14" s="7">
        <v>10242.480039304801</v>
      </c>
      <c r="AA14" s="7">
        <v>16105</v>
      </c>
      <c r="AB14" s="7">
        <v>27797</v>
      </c>
      <c r="AC14" s="6">
        <v>1.2580446390776701</v>
      </c>
      <c r="AD14">
        <v>64</v>
      </c>
      <c r="AE14">
        <v>62</v>
      </c>
      <c r="AF14">
        <v>43</v>
      </c>
      <c r="AG14">
        <v>29.518000000000001</v>
      </c>
      <c r="AH14">
        <v>23</v>
      </c>
      <c r="AI14" s="4">
        <v>17</v>
      </c>
      <c r="AJ14" s="4">
        <v>11.584</v>
      </c>
      <c r="AK14" s="4">
        <v>30.028032298854701</v>
      </c>
      <c r="AL14" s="6" t="s">
        <v>37</v>
      </c>
      <c r="AM14" s="11" t="s">
        <v>36</v>
      </c>
      <c r="AN14" s="12" t="s">
        <v>296</v>
      </c>
      <c r="AO14" s="12" t="s">
        <v>37</v>
      </c>
      <c r="AP14" s="12">
        <v>22095</v>
      </c>
      <c r="AQ14">
        <v>1.72603702835716</v>
      </c>
      <c r="AR14">
        <v>0.76115822702748404</v>
      </c>
      <c r="AS14">
        <v>4.4090192372820101E-2</v>
      </c>
      <c r="AT14" s="12">
        <v>1.8317535753057199E-3</v>
      </c>
      <c r="AU14" s="2">
        <f t="shared" si="0"/>
        <v>0.23567512635609178</v>
      </c>
      <c r="AV14" s="2">
        <f t="shared" si="1"/>
        <v>0.76432487364390822</v>
      </c>
      <c r="AW14" s="2">
        <v>0</v>
      </c>
      <c r="AX14" s="3">
        <v>1.1603748995088899E-3</v>
      </c>
      <c r="AY14" s="3">
        <v>1.09628354353756E-3</v>
      </c>
      <c r="AZ14" s="3">
        <v>1.2261896511120999E-3</v>
      </c>
      <c r="BA14" s="3">
        <v>3.7632456685591799E-3</v>
      </c>
      <c r="BB14" s="3">
        <v>3.03668631768724E-3</v>
      </c>
      <c r="BC14" s="3">
        <v>4.6097974694434898E-3</v>
      </c>
      <c r="BD14" s="3">
        <v>0</v>
      </c>
      <c r="BE14" s="3">
        <v>0</v>
      </c>
      <c r="BF14" s="3">
        <v>0</v>
      </c>
      <c r="BG14" s="3">
        <v>4.9236205680680701E-3</v>
      </c>
      <c r="BH14" s="3">
        <v>4.3701618276494004E-3</v>
      </c>
      <c r="BI14" s="3">
        <v>5.57170425257338E-3</v>
      </c>
      <c r="BJ14" s="3">
        <v>7.4623730157377596E-3</v>
      </c>
      <c r="BK14" s="3">
        <v>-9.0951640926148903E-4</v>
      </c>
      <c r="BL14" s="3">
        <v>9.6510449159897197E-4</v>
      </c>
      <c r="BM14" s="3">
        <v>6.5528566064762704E-3</v>
      </c>
      <c r="BN14" s="3">
        <v>8.4274775073367308E-3</v>
      </c>
      <c r="BO14" s="3">
        <v>7.6741235397144697E-4</v>
      </c>
      <c r="BP14" s="3">
        <v>5.5661771000008002E-4</v>
      </c>
      <c r="BQ14" s="3">
        <v>9.970192748344341E-4</v>
      </c>
      <c r="BR14" s="3">
        <v>0</v>
      </c>
      <c r="BS14" s="3">
        <v>0</v>
      </c>
      <c r="BT14" s="3">
        <v>0</v>
      </c>
      <c r="BU14" s="3">
        <v>1.7713400936982401E-3</v>
      </c>
      <c r="BV14" s="3">
        <v>1.4524988768325601E-3</v>
      </c>
      <c r="BW14" s="3">
        <v>2.09018131056393E-3</v>
      </c>
      <c r="BX14" s="3">
        <v>2.53875244766969E-3</v>
      </c>
      <c r="BY14" s="3">
        <v>2.0091165868326398E-3</v>
      </c>
      <c r="BZ14" s="3">
        <v>3.08720058539836E-3</v>
      </c>
      <c r="CA14">
        <v>2.89658293731614E-3</v>
      </c>
      <c r="CB14" s="3">
        <v>2.8060647205250099E-3</v>
      </c>
      <c r="CC14">
        <v>0.99462557542640595</v>
      </c>
      <c r="CD14">
        <v>12801</v>
      </c>
      <c r="CE14">
        <v>3.3591125693305198E-3</v>
      </c>
      <c r="CF14" s="5">
        <v>1.8328469419434999E-3</v>
      </c>
      <c r="CG14" s="5">
        <v>2.3059136004999598E-3</v>
      </c>
      <c r="CH14" s="13">
        <v>46.405174360686203</v>
      </c>
      <c r="CI14" s="13">
        <v>44.246114427417098</v>
      </c>
      <c r="CJ14" s="12">
        <v>48.756918664511502</v>
      </c>
      <c r="CK14" s="13">
        <v>46.405174360686203</v>
      </c>
      <c r="CL14" s="13">
        <v>44.246114427417098</v>
      </c>
      <c r="CM14">
        <v>48.756918664511502</v>
      </c>
      <c r="CN14">
        <v>30.028032298854701</v>
      </c>
      <c r="CO14">
        <v>26.262641806118701</v>
      </c>
      <c r="CP14">
        <v>33.806858638908203</v>
      </c>
      <c r="CQ14" t="s">
        <v>66</v>
      </c>
      <c r="CR14" t="s">
        <v>66</v>
      </c>
      <c r="CS14" t="s">
        <v>66</v>
      </c>
      <c r="CT14">
        <v>1.3812545468391899</v>
      </c>
      <c r="CU14">
        <v>0.50684294239041305</v>
      </c>
      <c r="CV14">
        <v>2.3884463998724401</v>
      </c>
      <c r="CW14">
        <v>6.37433161042064</v>
      </c>
      <c r="CX14">
        <v>4.47259519316089</v>
      </c>
      <c r="CY14">
        <v>8.4286312094186098</v>
      </c>
      <c r="CZ14">
        <v>0.104619560208635</v>
      </c>
      <c r="DA14">
        <v>2.4987521247835199E-2</v>
      </c>
      <c r="DB14">
        <v>0.390519310095573</v>
      </c>
      <c r="DC14">
        <v>0</v>
      </c>
      <c r="DD14">
        <v>0</v>
      </c>
      <c r="DE14">
        <v>0</v>
      </c>
      <c r="DF14">
        <v>0.60713253890171204</v>
      </c>
      <c r="DG14">
        <v>0.60713253890171204</v>
      </c>
      <c r="DH14">
        <v>0.39286746109828802</v>
      </c>
      <c r="DI14">
        <v>0.34020763103610802</v>
      </c>
      <c r="DJ14">
        <v>0.10283718063978201</v>
      </c>
      <c r="DK14">
        <v>50.430085389547898</v>
      </c>
      <c r="DL14">
        <v>4.2203797058534596</v>
      </c>
      <c r="DM14">
        <v>0.80013124281734305</v>
      </c>
      <c r="DN14">
        <v>5.4988291489690196E-3</v>
      </c>
      <c r="DO14">
        <v>0.9</v>
      </c>
      <c r="DP14">
        <v>17.326203208556102</v>
      </c>
      <c r="DQ14">
        <v>0.129329959428608</v>
      </c>
      <c r="DR14">
        <v>-0.12188067663054999</v>
      </c>
      <c r="DS14" s="3">
        <v>0</v>
      </c>
      <c r="DT14" s="3">
        <v>0</v>
      </c>
      <c r="DU14" s="3">
        <v>1.16664537670324E-3</v>
      </c>
      <c r="DV14" s="3">
        <v>1.11557526312459E-3</v>
      </c>
      <c r="DW14" s="3">
        <v>1.2227046191535501E-3</v>
      </c>
      <c r="DX14" s="5">
        <v>3.0734467370106002E-3</v>
      </c>
      <c r="DY14" s="5">
        <v>3.5100155711631099E-3</v>
      </c>
      <c r="DZ14" s="5">
        <v>2.6368779028580801E-3</v>
      </c>
      <c r="EA14">
        <v>38.5166253155002</v>
      </c>
      <c r="EB14">
        <v>32.706724113427804</v>
      </c>
      <c r="EC14">
        <v>45.162760175483498</v>
      </c>
      <c r="ED14">
        <v>7.8602057174684701</v>
      </c>
      <c r="EE14">
        <v>7.8602057174684701</v>
      </c>
      <c r="EF14">
        <v>7.8602057174684701</v>
      </c>
    </row>
    <row r="15" spans="1:136" x14ac:dyDescent="0.2">
      <c r="A15" t="s">
        <v>89</v>
      </c>
      <c r="B15">
        <v>10.5327196937992</v>
      </c>
      <c r="C15">
        <v>10.2708583138366</v>
      </c>
      <c r="D15">
        <v>10.811015073106001</v>
      </c>
      <c r="E15">
        <v>5.9004588964722098</v>
      </c>
      <c r="F15">
        <v>4.7390936494000098</v>
      </c>
      <c r="G15">
        <v>7.0531674577329797</v>
      </c>
      <c r="H15">
        <v>0</v>
      </c>
      <c r="I15">
        <v>0</v>
      </c>
      <c r="J15">
        <v>0</v>
      </c>
      <c r="K15">
        <v>16.4331785902714</v>
      </c>
      <c r="L15">
        <v>15.248982317742501</v>
      </c>
      <c r="M15">
        <v>17.653559712571699</v>
      </c>
      <c r="N15">
        <v>2.3542205143368302</v>
      </c>
      <c r="O15" s="20">
        <v>1.7154669433615499</v>
      </c>
      <c r="P15" s="20">
        <v>3.1768716273909798</v>
      </c>
      <c r="Q15" s="20">
        <v>0</v>
      </c>
      <c r="R15">
        <v>1.3191311322984201</v>
      </c>
      <c r="S15" s="12">
        <v>20.1065302369066</v>
      </c>
      <c r="T15" s="6">
        <v>18.483144312013401</v>
      </c>
      <c r="U15" s="6">
        <v>21.786348085329099</v>
      </c>
      <c r="V15" s="7">
        <v>1000</v>
      </c>
      <c r="W15" s="21">
        <v>6.9309833552710004E-2</v>
      </c>
      <c r="X15" s="21">
        <v>8.3545392399999994</v>
      </c>
      <c r="Y15" s="8">
        <v>52.054000000000002</v>
      </c>
      <c r="Z15" s="7">
        <v>350.73926764171102</v>
      </c>
      <c r="AA15" s="7">
        <v>9185</v>
      </c>
      <c r="AB15" s="7">
        <v>32340</v>
      </c>
      <c r="AC15" s="6">
        <v>1.70994738414317</v>
      </c>
      <c r="AD15">
        <v>56</v>
      </c>
      <c r="AE15">
        <v>41.451000000000001</v>
      </c>
      <c r="AF15">
        <v>42</v>
      </c>
      <c r="AG15">
        <v>24.919</v>
      </c>
      <c r="AH15">
        <v>52</v>
      </c>
      <c r="AI15" s="4">
        <v>25</v>
      </c>
      <c r="AJ15" s="4">
        <v>16.324000000000002</v>
      </c>
      <c r="AK15" s="4">
        <v>11.8518508260976</v>
      </c>
      <c r="AL15" s="6" t="s">
        <v>37</v>
      </c>
      <c r="AM15" s="11" t="s">
        <v>36</v>
      </c>
      <c r="AN15" s="12" t="s">
        <v>296</v>
      </c>
      <c r="AO15" s="12" t="s">
        <v>37</v>
      </c>
      <c r="AP15" s="12">
        <v>18912</v>
      </c>
      <c r="AQ15">
        <v>3.5211320052131798</v>
      </c>
      <c r="AR15">
        <v>0.53291610689503099</v>
      </c>
      <c r="AS15">
        <v>3.6936326666452801E-2</v>
      </c>
      <c r="AT15" s="12">
        <v>2.19176938273724E-3</v>
      </c>
      <c r="AU15" s="2">
        <f t="shared" si="0"/>
        <v>0.64094232506148696</v>
      </c>
      <c r="AV15" s="2">
        <f t="shared" si="1"/>
        <v>0.35905767493851365</v>
      </c>
      <c r="AW15" s="2">
        <v>0</v>
      </c>
      <c r="AX15" s="3">
        <v>3.0030055558417298E-2</v>
      </c>
      <c r="AY15" s="3">
        <v>2.8629087560775101E-2</v>
      </c>
      <c r="AZ15" s="3">
        <v>3.1518946055963601E-2</v>
      </c>
      <c r="BA15" s="3">
        <v>1.68229207301068E-2</v>
      </c>
      <c r="BB15" s="3">
        <v>1.06095740160755E-2</v>
      </c>
      <c r="BC15" s="3">
        <v>2.29899538571967E-2</v>
      </c>
      <c r="BD15" s="3">
        <v>0</v>
      </c>
      <c r="BE15" s="3">
        <v>0</v>
      </c>
      <c r="BF15" s="3">
        <v>0</v>
      </c>
      <c r="BG15" s="3">
        <v>4.6852976288524001E-2</v>
      </c>
      <c r="BH15" s="3">
        <v>4.34766897367184E-2</v>
      </c>
      <c r="BI15" s="3">
        <v>5.0332430215955203E-2</v>
      </c>
      <c r="BJ15" s="3">
        <v>5.7326145350357398E-2</v>
      </c>
      <c r="BK15" s="3">
        <v>-4.62846927807215E-3</v>
      </c>
      <c r="BL15" s="3">
        <v>4.7893635055955399E-3</v>
      </c>
      <c r="BM15" s="3">
        <v>5.2697676072285198E-2</v>
      </c>
      <c r="BN15" s="3">
        <v>6.2115508855952899E-2</v>
      </c>
      <c r="BO15" s="3">
        <v>6.7121669329073402E-3</v>
      </c>
      <c r="BP15" s="3">
        <v>4.8910033795073801E-3</v>
      </c>
      <c r="BQ15" s="3">
        <v>9.0576445824031206E-3</v>
      </c>
      <c r="BR15" s="3">
        <v>0</v>
      </c>
      <c r="BS15" s="3">
        <v>0</v>
      </c>
      <c r="BT15" s="3">
        <v>0</v>
      </c>
      <c r="BU15" s="3">
        <v>3.7610021289259899E-3</v>
      </c>
      <c r="BV15" s="3">
        <v>3.0840217457193098E-3</v>
      </c>
      <c r="BW15" s="3">
        <v>4.4379825121326696E-3</v>
      </c>
      <c r="BX15" s="3">
        <v>1.04731690618333E-2</v>
      </c>
      <c r="BY15" s="3">
        <v>7.9750251252267007E-3</v>
      </c>
      <c r="BZ15" s="3">
        <v>1.3495627094535801E-2</v>
      </c>
      <c r="CA15">
        <v>2.9610829103214899E-3</v>
      </c>
      <c r="CB15" s="3">
        <v>2.1917829949238601E-3</v>
      </c>
      <c r="CC15">
        <v>0.94730615679513697</v>
      </c>
      <c r="CD15">
        <v>5371</v>
      </c>
      <c r="CE15">
        <v>7.8197728542170903E-3</v>
      </c>
      <c r="CF15" s="5">
        <v>2.7130103429504602E-3</v>
      </c>
      <c r="CG15" s="5">
        <v>4.6395457084341804E-3</v>
      </c>
      <c r="CH15" s="13">
        <v>8.2546794108090396</v>
      </c>
      <c r="CI15" s="13">
        <v>7.6159258398337704</v>
      </c>
      <c r="CJ15" s="12">
        <v>9.0773305238631998</v>
      </c>
      <c r="CK15" s="13">
        <v>8.2546794108090396</v>
      </c>
      <c r="CL15" s="13">
        <v>7.6159258398337704</v>
      </c>
      <c r="CM15">
        <v>9.0773305238631998</v>
      </c>
      <c r="CN15">
        <v>11.8518508260976</v>
      </c>
      <c r="CO15">
        <v>11.3525458423213</v>
      </c>
      <c r="CP15">
        <v>12.367589809218201</v>
      </c>
      <c r="CQ15" t="s">
        <v>66</v>
      </c>
      <c r="CR15" t="s">
        <v>66</v>
      </c>
      <c r="CS15" t="s">
        <v>66</v>
      </c>
      <c r="CT15">
        <v>1.80439800641361</v>
      </c>
      <c r="CU15">
        <v>1.2920156905170299</v>
      </c>
      <c r="CV15">
        <v>2.4430815515548798</v>
      </c>
      <c r="CW15">
        <v>0.26491333893562002</v>
      </c>
      <c r="CX15">
        <v>0.15337398324092599</v>
      </c>
      <c r="CY15">
        <v>0.43004633182727803</v>
      </c>
      <c r="CZ15">
        <v>0.28490916898760499</v>
      </c>
      <c r="DA15">
        <v>0.13307648383203199</v>
      </c>
      <c r="DB15">
        <v>0.84249827750453499</v>
      </c>
      <c r="DC15">
        <v>0</v>
      </c>
      <c r="DD15">
        <v>0</v>
      </c>
      <c r="DE15">
        <v>0</v>
      </c>
      <c r="DF15">
        <v>0.41054396717835501</v>
      </c>
      <c r="DG15">
        <v>0.41054396717835501</v>
      </c>
      <c r="DH15">
        <v>0.58945603282164505</v>
      </c>
      <c r="DI15">
        <v>0.18269414710360399</v>
      </c>
      <c r="DJ15">
        <v>0.117085994326854</v>
      </c>
      <c r="DK15">
        <v>16.4331785902714</v>
      </c>
      <c r="DL15">
        <v>1.4779899065475699</v>
      </c>
      <c r="DM15">
        <v>6.5302414381253296E-2</v>
      </c>
      <c r="DN15">
        <v>2.4005541504687099E-2</v>
      </c>
      <c r="DO15">
        <v>0.9</v>
      </c>
      <c r="DP15">
        <v>17.326203208556102</v>
      </c>
      <c r="DQ15">
        <v>8.3545415095672995E-2</v>
      </c>
      <c r="DR15">
        <v>-8.0746108840348205E-2</v>
      </c>
      <c r="DS15" s="3">
        <v>0</v>
      </c>
      <c r="DT15" s="3">
        <v>0</v>
      </c>
      <c r="DU15" s="3">
        <v>3.1700607921828501E-2</v>
      </c>
      <c r="DV15" s="3">
        <v>3.0731270800311301E-2</v>
      </c>
      <c r="DW15" s="3">
        <v>3.2851577770342998E-2</v>
      </c>
      <c r="DX15" s="5">
        <v>1.8855842445038701E-2</v>
      </c>
      <c r="DY15" s="5">
        <v>1.9782788275775402E-2</v>
      </c>
      <c r="DZ15" s="5">
        <v>1.7928896614302001E-2</v>
      </c>
      <c r="EA15">
        <v>6.03348862837636</v>
      </c>
      <c r="EB15">
        <v>4.8731954079061204</v>
      </c>
      <c r="EC15">
        <v>7.1974440062961804</v>
      </c>
      <c r="ED15">
        <v>2.3542205143368302</v>
      </c>
      <c r="EE15">
        <v>2.3542205143368302</v>
      </c>
      <c r="EF15">
        <v>2.3542205143368302</v>
      </c>
    </row>
    <row r="16" spans="1:136" x14ac:dyDescent="0.2">
      <c r="A16" t="s">
        <v>102</v>
      </c>
      <c r="B16">
        <v>3.43531857915896</v>
      </c>
      <c r="C16">
        <v>3.16495154937749</v>
      </c>
      <c r="D16">
        <v>3.69906994659602</v>
      </c>
      <c r="E16">
        <v>10.2086388637101</v>
      </c>
      <c r="F16">
        <v>8.8098415106340706</v>
      </c>
      <c r="G16">
        <v>11.920751920151</v>
      </c>
      <c r="H16">
        <v>2.0963498741202402</v>
      </c>
      <c r="I16">
        <v>1.5200698234852901</v>
      </c>
      <c r="J16">
        <v>2.78064409896341</v>
      </c>
      <c r="K16">
        <v>15.7403073169893</v>
      </c>
      <c r="L16">
        <v>14.1339973457659</v>
      </c>
      <c r="M16">
        <v>17.5822447880597</v>
      </c>
      <c r="N16">
        <v>1.7197542563721799</v>
      </c>
      <c r="O16" s="20">
        <v>1.40822622734717</v>
      </c>
      <c r="P16" s="20">
        <v>2.05831906164922</v>
      </c>
      <c r="Q16" s="20">
        <v>1.9173474611903001</v>
      </c>
      <c r="R16">
        <v>2.1864876090313401</v>
      </c>
      <c r="S16" s="12">
        <v>21.563896643583099</v>
      </c>
      <c r="T16" s="6">
        <v>19.445960128825799</v>
      </c>
      <c r="U16" s="6">
        <v>23.9172690477114</v>
      </c>
      <c r="V16" s="7">
        <v>1000</v>
      </c>
      <c r="W16" s="21">
        <v>5.8670258677679298E-2</v>
      </c>
      <c r="X16" s="21">
        <v>6.5248198687447001</v>
      </c>
      <c r="Y16">
        <v>45.424999999999997</v>
      </c>
      <c r="Z16">
        <v>636.66721925133697</v>
      </c>
      <c r="AA16">
        <v>7474</v>
      </c>
      <c r="AB16">
        <v>12982</v>
      </c>
      <c r="AC16" s="6">
        <v>1.62246508803886</v>
      </c>
      <c r="AD16">
        <v>80</v>
      </c>
      <c r="AE16">
        <v>79.98</v>
      </c>
      <c r="AF16">
        <v>49</v>
      </c>
      <c r="AG16">
        <v>40.021999999999998</v>
      </c>
      <c r="AH16">
        <v>49</v>
      </c>
      <c r="AI16" s="4">
        <v>23</v>
      </c>
      <c r="AJ16" s="4">
        <v>20.169</v>
      </c>
      <c r="AK16" s="4">
        <v>5.6218061881902903</v>
      </c>
      <c r="AL16" s="6" t="s">
        <v>37</v>
      </c>
      <c r="AM16" s="11" t="s">
        <v>36</v>
      </c>
      <c r="AN16" s="12" t="s">
        <v>296</v>
      </c>
      <c r="AO16" s="12" t="s">
        <v>37</v>
      </c>
      <c r="AP16" s="12">
        <v>8001</v>
      </c>
      <c r="AQ16">
        <v>1.7370820668692999</v>
      </c>
      <c r="AR16">
        <v>0.75873449917936997</v>
      </c>
      <c r="AS16">
        <v>4.45151493345331E-2</v>
      </c>
      <c r="AT16" s="12">
        <v>1.8553164833272501E-3</v>
      </c>
      <c r="AU16" s="2">
        <f t="shared" si="0"/>
        <v>0.21824977810001517</v>
      </c>
      <c r="AV16" s="2">
        <f t="shared" si="1"/>
        <v>0.64856668031452003</v>
      </c>
      <c r="AW16" s="2">
        <v>9.5694459371544902E-2</v>
      </c>
      <c r="AX16" s="3">
        <v>5.3957836610444296E-3</v>
      </c>
      <c r="AY16" s="3">
        <v>4.8360886846280596E-3</v>
      </c>
      <c r="AZ16" s="3">
        <v>5.9417833544863196E-3</v>
      </c>
      <c r="BA16" s="3">
        <v>1.6034497387370599E-2</v>
      </c>
      <c r="BB16" s="3">
        <v>1.31388046241888E-2</v>
      </c>
      <c r="BC16" s="3">
        <v>1.9578794476854601E-2</v>
      </c>
      <c r="BD16" s="3">
        <v>3.2926932795210601E-3</v>
      </c>
      <c r="BE16" s="3">
        <v>2.0997184940597701E-3</v>
      </c>
      <c r="BF16" s="3">
        <v>4.7092714782201797E-3</v>
      </c>
      <c r="BG16" s="3">
        <v>2.47229743279361E-2</v>
      </c>
      <c r="BH16" s="3">
        <v>2.2199976562930698E-2</v>
      </c>
      <c r="BI16" s="3">
        <v>2.7616067321221401E-2</v>
      </c>
      <c r="BJ16" s="3">
        <v>3.38699653312452E-2</v>
      </c>
      <c r="BK16" s="3">
        <v>-3.3265989683711901E-3</v>
      </c>
      <c r="BL16" s="3">
        <v>3.6963932380494201E-3</v>
      </c>
      <c r="BM16" s="3">
        <v>3.0543366362874001E-2</v>
      </c>
      <c r="BN16" s="3">
        <v>3.7566358569294599E-2</v>
      </c>
      <c r="BO16" s="3">
        <v>2.7011823514244398E-3</v>
      </c>
      <c r="BP16" s="3">
        <v>2.21187173576035E-3</v>
      </c>
      <c r="BQ16" s="3">
        <v>3.2329590709407299E-3</v>
      </c>
      <c r="BR16" s="3">
        <v>3.0115379011423299E-3</v>
      </c>
      <c r="BS16" s="3">
        <v>2.3741141250172202E-3</v>
      </c>
      <c r="BT16" s="3">
        <v>3.7230438721503E-3</v>
      </c>
      <c r="BU16" s="3">
        <v>3.4342707507423499E-3</v>
      </c>
      <c r="BV16" s="3">
        <v>2.81610201560873E-3</v>
      </c>
      <c r="BW16" s="3">
        <v>4.0524394858759798E-3</v>
      </c>
      <c r="BX16" s="3">
        <v>9.1469910033091205E-3</v>
      </c>
      <c r="BY16" s="3">
        <v>7.6667894045144699E-3</v>
      </c>
      <c r="BZ16" s="3">
        <v>1.0710912852594999E-2</v>
      </c>
      <c r="CA16">
        <v>9.9987501562304702E-3</v>
      </c>
      <c r="CB16" s="3">
        <v>9.9962504686914103E-3</v>
      </c>
      <c r="CC16">
        <v>0.97283619113584296</v>
      </c>
      <c r="CD16">
        <v>4606</v>
      </c>
      <c r="CE16">
        <v>1.0638297872340399E-2</v>
      </c>
      <c r="CF16" s="5">
        <v>5.35483007760236E-3</v>
      </c>
      <c r="CG16" s="5">
        <v>8.6891011723838497E-3</v>
      </c>
      <c r="CH16" s="13">
        <v>11.9283931200822</v>
      </c>
      <c r="CI16" s="13">
        <v>11.6168650910572</v>
      </c>
      <c r="CJ16" s="12">
        <v>12.2669579253593</v>
      </c>
      <c r="CK16" s="13">
        <v>13.8457405812725</v>
      </c>
      <c r="CL16" s="13">
        <v>13.1283857292173</v>
      </c>
      <c r="CM16">
        <v>14.637297914591899</v>
      </c>
      <c r="CN16">
        <v>5.6218061881902903</v>
      </c>
      <c r="CO16">
        <v>4.9578713887831798</v>
      </c>
      <c r="CP16">
        <v>6.2791253252530002</v>
      </c>
      <c r="CQ16" t="s">
        <v>66</v>
      </c>
      <c r="CR16" t="s">
        <v>66</v>
      </c>
      <c r="CS16" t="s">
        <v>66</v>
      </c>
      <c r="CT16">
        <v>0.68601511983867003</v>
      </c>
      <c r="CU16">
        <v>0.54091128251278797</v>
      </c>
      <c r="CV16">
        <v>0.83351701090256203</v>
      </c>
      <c r="CW16">
        <v>0.63557154980520802</v>
      </c>
      <c r="CX16">
        <v>0.424192217888752</v>
      </c>
      <c r="CY16">
        <v>0.90218429690958002</v>
      </c>
      <c r="CZ16">
        <v>0.39816758672830499</v>
      </c>
      <c r="DA16">
        <v>0.22609926062283001</v>
      </c>
      <c r="DB16">
        <v>0.56171741187701496</v>
      </c>
      <c r="DC16" t="s">
        <v>66</v>
      </c>
      <c r="DD16" t="s">
        <v>66</v>
      </c>
      <c r="DE16" t="s">
        <v>66</v>
      </c>
      <c r="DF16">
        <v>0.553164682658289</v>
      </c>
      <c r="DG16">
        <v>0.64207942990001898</v>
      </c>
      <c r="DH16">
        <v>0.260704367452674</v>
      </c>
      <c r="DI16">
        <v>0.27006234638761201</v>
      </c>
      <c r="DJ16">
        <v>7.9751578552903005E-2</v>
      </c>
      <c r="DK16">
        <v>15.7403073169893</v>
      </c>
      <c r="DL16">
        <v>4.4574933666600796</v>
      </c>
      <c r="DM16">
        <v>0.138225622937763</v>
      </c>
      <c r="DN16">
        <v>1.06611193281389E-2</v>
      </c>
      <c r="DO16">
        <v>0.9</v>
      </c>
      <c r="DP16">
        <v>17.326203208556102</v>
      </c>
      <c r="DQ16">
        <v>0.109128547263276</v>
      </c>
      <c r="DR16">
        <v>-9.8216044021859905E-2</v>
      </c>
      <c r="DS16" s="3">
        <v>9.7216202647307404E-2</v>
      </c>
      <c r="DT16" s="3">
        <v>7.7903930180836897E-2</v>
      </c>
      <c r="DU16" s="3">
        <v>5.5464569962384996E-3</v>
      </c>
      <c r="DV16" s="3">
        <v>5.1912927944553497E-3</v>
      </c>
      <c r="DW16" s="3">
        <v>5.941788097866E-3</v>
      </c>
      <c r="DX16" s="5">
        <v>5.9587925946185498E-3</v>
      </c>
      <c r="DY16" s="5">
        <v>6.80521140665222E-3</v>
      </c>
      <c r="DZ16" s="5">
        <v>5.1123737825848796E-3</v>
      </c>
      <c r="EA16">
        <v>10.250940169466199</v>
      </c>
      <c r="EB16">
        <v>8.8565536820223301</v>
      </c>
      <c r="EC16">
        <v>11.9526363302967</v>
      </c>
      <c r="ED16">
        <v>1.7197542563721799</v>
      </c>
      <c r="EE16">
        <v>1.7197542563721799</v>
      </c>
      <c r="EF16">
        <v>1.7197542563721799</v>
      </c>
    </row>
    <row r="17" spans="1:136" x14ac:dyDescent="0.2">
      <c r="A17" t="s">
        <v>103</v>
      </c>
      <c r="B17">
        <v>22.129239815143698</v>
      </c>
      <c r="C17">
        <v>21.750152266571099</v>
      </c>
      <c r="D17">
        <v>22.5614523005918</v>
      </c>
      <c r="E17">
        <v>104.292608688968</v>
      </c>
      <c r="F17">
        <v>99.332901404859896</v>
      </c>
      <c r="G17">
        <v>109.622727818434</v>
      </c>
      <c r="H17">
        <v>0</v>
      </c>
      <c r="I17">
        <v>0</v>
      </c>
      <c r="J17">
        <v>0</v>
      </c>
      <c r="K17">
        <v>126.42184850411201</v>
      </c>
      <c r="L17">
        <v>121.369294884168</v>
      </c>
      <c r="M17">
        <v>131.72556531818401</v>
      </c>
      <c r="N17">
        <v>75.599370022103301</v>
      </c>
      <c r="O17" s="20">
        <v>68.826253422283102</v>
      </c>
      <c r="P17" s="20">
        <v>83.946185913269105</v>
      </c>
      <c r="Q17" s="20">
        <v>0</v>
      </c>
      <c r="R17">
        <v>17.294910308613101</v>
      </c>
      <c r="S17" s="12">
        <v>219.31612883482799</v>
      </c>
      <c r="T17" s="6">
        <v>207.57436825749301</v>
      </c>
      <c r="U17" s="6">
        <v>231.95129072372399</v>
      </c>
      <c r="V17" s="7">
        <v>1000</v>
      </c>
      <c r="W17" s="21">
        <v>6.6276662746927006E-2</v>
      </c>
      <c r="X17" s="21">
        <v>16.353133799999998</v>
      </c>
      <c r="Y17" s="8">
        <v>57.851999999999997</v>
      </c>
      <c r="Z17" s="7">
        <v>4755.8021327807501</v>
      </c>
      <c r="AA17" s="7">
        <v>17164</v>
      </c>
      <c r="AB17" s="7">
        <v>152653</v>
      </c>
      <c r="AC17" s="6">
        <v>1.82507693639206</v>
      </c>
      <c r="AD17">
        <v>1052</v>
      </c>
      <c r="AE17">
        <v>998.61300000000006</v>
      </c>
      <c r="AF17">
        <v>540</v>
      </c>
      <c r="AG17">
        <v>166.809</v>
      </c>
      <c r="AH17">
        <v>681</v>
      </c>
      <c r="AI17" s="4">
        <v>278</v>
      </c>
      <c r="AJ17" s="4">
        <v>101.63200000000001</v>
      </c>
      <c r="AK17" s="4">
        <v>39.424150123756803</v>
      </c>
      <c r="AL17" s="6" t="s">
        <v>37</v>
      </c>
      <c r="AM17" s="11" t="s">
        <v>36</v>
      </c>
      <c r="AN17" s="12" t="s">
        <v>296</v>
      </c>
      <c r="AO17" s="12" t="s">
        <v>37</v>
      </c>
      <c r="AP17" s="12">
        <v>83641</v>
      </c>
      <c r="AQ17">
        <v>8.8941939600170201</v>
      </c>
      <c r="AR17">
        <v>0.33531015156350102</v>
      </c>
      <c r="AS17">
        <v>2.2223237830795099E-2</v>
      </c>
      <c r="AT17" s="12">
        <v>2.0958520999512101E-3</v>
      </c>
      <c r="AU17" s="2">
        <f t="shared" si="0"/>
        <v>0.17504284328213982</v>
      </c>
      <c r="AV17" s="2">
        <f t="shared" si="1"/>
        <v>0.82495715671785774</v>
      </c>
      <c r="AW17" s="2">
        <v>0</v>
      </c>
      <c r="AX17" s="3">
        <v>4.6531035558883896E-3</v>
      </c>
      <c r="AY17" s="3">
        <v>4.4153817391234503E-3</v>
      </c>
      <c r="AZ17" s="3">
        <v>4.9241394621219797E-3</v>
      </c>
      <c r="BA17" s="3">
        <v>2.1929551688053099E-2</v>
      </c>
      <c r="BB17" s="3">
        <v>1.88193713863253E-2</v>
      </c>
      <c r="BC17" s="3">
        <v>2.5272013364257599E-2</v>
      </c>
      <c r="BD17" s="3">
        <v>0</v>
      </c>
      <c r="BE17" s="3">
        <v>0</v>
      </c>
      <c r="BF17" s="3">
        <v>0</v>
      </c>
      <c r="BG17" s="3">
        <v>2.6582655243941399E-2</v>
      </c>
      <c r="BH17" s="3">
        <v>2.5520257465632398E-2</v>
      </c>
      <c r="BI17" s="3">
        <v>2.76978649742863E-2</v>
      </c>
      <c r="BJ17" s="3">
        <v>4.6115486454562198E-2</v>
      </c>
      <c r="BK17" s="3">
        <v>-2.4689337885615901E-3</v>
      </c>
      <c r="BL17" s="3">
        <v>2.6567888099893401E-3</v>
      </c>
      <c r="BM17" s="3">
        <v>4.36465526660006E-2</v>
      </c>
      <c r="BN17" s="3">
        <v>4.8772275264551503E-2</v>
      </c>
      <c r="BO17" s="3">
        <v>1.58962395640922E-2</v>
      </c>
      <c r="BP17" s="3">
        <v>1.4472059917690501E-2</v>
      </c>
      <c r="BQ17" s="3">
        <v>1.7651320128448101E-2</v>
      </c>
      <c r="BR17" s="3">
        <v>0</v>
      </c>
      <c r="BS17" s="3">
        <v>0</v>
      </c>
      <c r="BT17" s="3">
        <v>0</v>
      </c>
      <c r="BU17" s="3">
        <v>3.6365916465285501E-3</v>
      </c>
      <c r="BV17" s="3">
        <v>2.9820051501534099E-3</v>
      </c>
      <c r="BW17" s="3">
        <v>4.2911781429036903E-3</v>
      </c>
      <c r="BX17" s="3">
        <v>1.9532831210620698E-2</v>
      </c>
      <c r="BY17" s="3">
        <v>1.7454065067843898E-2</v>
      </c>
      <c r="BZ17" s="3">
        <v>2.19424982713518E-2</v>
      </c>
      <c r="CA17">
        <v>1.2577563635059401E-2</v>
      </c>
      <c r="CB17" s="3">
        <v>1.1939276192298001E-2</v>
      </c>
      <c r="CC17">
        <v>0.77434916684858901</v>
      </c>
      <c r="CD17">
        <v>9404</v>
      </c>
      <c r="CE17">
        <v>5.7422373458102902E-2</v>
      </c>
      <c r="CF17" s="5">
        <v>9.7185388021440201E-3</v>
      </c>
      <c r="CG17" s="5">
        <v>1.77380901743939E-2</v>
      </c>
      <c r="CH17" s="13">
        <v>179.891978711072</v>
      </c>
      <c r="CI17" s="13">
        <v>173.11886211125201</v>
      </c>
      <c r="CJ17" s="12">
        <v>188.23879460223699</v>
      </c>
      <c r="CK17" s="13">
        <v>179.891978711072</v>
      </c>
      <c r="CL17" s="13">
        <v>173.11886211125201</v>
      </c>
      <c r="CM17">
        <v>188.23879460223699</v>
      </c>
      <c r="CN17">
        <v>39.424150123756803</v>
      </c>
      <c r="CO17">
        <v>35.931978719633904</v>
      </c>
      <c r="CP17">
        <v>42.9694464647553</v>
      </c>
      <c r="CQ17" t="s">
        <v>66</v>
      </c>
      <c r="CR17" t="s">
        <v>66</v>
      </c>
      <c r="CS17" t="s">
        <v>66</v>
      </c>
      <c r="CT17">
        <v>22.3757111787939</v>
      </c>
      <c r="CU17">
        <v>20.179121509497001</v>
      </c>
      <c r="CV17">
        <v>25.042304620633502</v>
      </c>
      <c r="CW17">
        <v>34.8333595496375</v>
      </c>
      <c r="CX17">
        <v>31.2033193850754</v>
      </c>
      <c r="CY17">
        <v>39.494748967268798</v>
      </c>
      <c r="CZ17">
        <v>18.390299293671902</v>
      </c>
      <c r="DA17">
        <v>13.739198048993099</v>
      </c>
      <c r="DB17">
        <v>24.7828953825566</v>
      </c>
      <c r="DC17">
        <v>0</v>
      </c>
      <c r="DD17">
        <v>0</v>
      </c>
      <c r="DE17">
        <v>0</v>
      </c>
      <c r="DF17">
        <v>0.820240192860068</v>
      </c>
      <c r="DG17">
        <v>0.820240192860068</v>
      </c>
      <c r="DH17">
        <v>0.179759807139932</v>
      </c>
      <c r="DI17">
        <v>0.423561926806933</v>
      </c>
      <c r="DJ17">
        <v>0.34470335243859102</v>
      </c>
      <c r="DK17">
        <v>126.42184850411201</v>
      </c>
      <c r="DL17">
        <v>4.4238166852826799</v>
      </c>
      <c r="DM17">
        <v>0.50572119659514603</v>
      </c>
      <c r="DN17">
        <v>1.14918517480515E-2</v>
      </c>
      <c r="DO17">
        <v>0.9</v>
      </c>
      <c r="DP17">
        <v>17.326203208556102</v>
      </c>
      <c r="DQ17">
        <v>5.7607518626321401E-2</v>
      </c>
      <c r="DR17">
        <v>-5.3538709014706497E-2</v>
      </c>
      <c r="DS17" s="3">
        <v>0</v>
      </c>
      <c r="DT17" s="3">
        <v>0</v>
      </c>
      <c r="DU17" s="3">
        <v>6.0090839972423201E-3</v>
      </c>
      <c r="DV17" s="3">
        <v>5.8552048250967896E-3</v>
      </c>
      <c r="DW17" s="3">
        <v>6.1840028747123504E-3</v>
      </c>
      <c r="DX17" s="5">
        <v>5.9587925946185498E-3</v>
      </c>
      <c r="DY17" s="5">
        <v>6.80521140665222E-3</v>
      </c>
      <c r="DZ17" s="5">
        <v>5.1123737825848796E-3</v>
      </c>
      <c r="EA17">
        <v>104.35404761368601</v>
      </c>
      <c r="EB17">
        <v>99.414306983404899</v>
      </c>
      <c r="EC17">
        <v>109.693781086595</v>
      </c>
      <c r="ED17">
        <v>75.599370022103301</v>
      </c>
      <c r="EE17">
        <v>75.599370022103301</v>
      </c>
      <c r="EF17">
        <v>75.599370022103301</v>
      </c>
    </row>
    <row r="18" spans="1:136" x14ac:dyDescent="0.2">
      <c r="A18" t="s">
        <v>104</v>
      </c>
      <c r="B18">
        <v>13.570648967856</v>
      </c>
      <c r="C18">
        <v>13.317593174182299</v>
      </c>
      <c r="D18">
        <v>13.848657318568</v>
      </c>
      <c r="E18">
        <v>57.963754253975402</v>
      </c>
      <c r="F18">
        <v>54.358549904818197</v>
      </c>
      <c r="G18">
        <v>61.7334933133926</v>
      </c>
      <c r="H18">
        <v>0</v>
      </c>
      <c r="I18">
        <v>0</v>
      </c>
      <c r="J18">
        <v>0</v>
      </c>
      <c r="K18">
        <v>71.534403221831397</v>
      </c>
      <c r="L18">
        <v>67.902781314098405</v>
      </c>
      <c r="M18">
        <v>75.329040887900604</v>
      </c>
      <c r="N18">
        <v>37.164629647885</v>
      </c>
      <c r="O18" s="20">
        <v>33.9217147292484</v>
      </c>
      <c r="P18" s="20">
        <v>41.396782973406502</v>
      </c>
      <c r="Q18" s="20">
        <v>0</v>
      </c>
      <c r="R18">
        <v>13.139792955001001</v>
      </c>
      <c r="S18" s="12">
        <v>121.83882582471701</v>
      </c>
      <c r="T18">
        <v>114.298776300386</v>
      </c>
      <c r="U18" s="6">
        <v>129.57369326839401</v>
      </c>
      <c r="V18" s="7">
        <v>1000</v>
      </c>
      <c r="W18" s="21">
        <v>8.2255993280111295E-2</v>
      </c>
      <c r="X18" s="21">
        <v>16.353133799999998</v>
      </c>
      <c r="Y18">
        <v>53.271000000000001</v>
      </c>
      <c r="Z18">
        <v>3613.2165038502699</v>
      </c>
      <c r="AA18">
        <v>7955</v>
      </c>
      <c r="AB18">
        <v>100870</v>
      </c>
      <c r="AC18" s="6">
        <v>1.82507693639206</v>
      </c>
      <c r="AD18">
        <v>922</v>
      </c>
      <c r="AE18">
        <v>875.71</v>
      </c>
      <c r="AF18">
        <v>447</v>
      </c>
      <c r="AG18">
        <v>117.767</v>
      </c>
      <c r="AH18">
        <v>558</v>
      </c>
      <c r="AI18" s="4">
        <v>202</v>
      </c>
      <c r="AJ18" s="4">
        <v>64.254000000000005</v>
      </c>
      <c r="AK18" s="4">
        <v>26.710441922856901</v>
      </c>
      <c r="AL18" s="6" t="s">
        <v>37</v>
      </c>
      <c r="AM18" s="11" t="s">
        <v>36</v>
      </c>
      <c r="AN18" s="12" t="s">
        <v>296</v>
      </c>
      <c r="AO18" s="12" t="s">
        <v>37</v>
      </c>
      <c r="AP18" s="12">
        <v>55268</v>
      </c>
      <c r="AQ18">
        <v>12.681964203763201</v>
      </c>
      <c r="AR18">
        <v>0.28080622975595598</v>
      </c>
      <c r="AS18">
        <v>2.3097995347819301E-2</v>
      </c>
      <c r="AT18" s="12">
        <v>2.6011628996465601E-3</v>
      </c>
      <c r="AU18" s="2">
        <f t="shared" si="0"/>
        <v>0.18970800561196838</v>
      </c>
      <c r="AV18" s="2">
        <f t="shared" si="1"/>
        <v>0.81029199438803168</v>
      </c>
      <c r="AW18" s="2">
        <v>0</v>
      </c>
      <c r="AX18" s="3">
        <v>3.7558360960089098E-3</v>
      </c>
      <c r="AY18" s="3">
        <v>3.50642512044124E-3</v>
      </c>
      <c r="AZ18" s="3">
        <v>4.0298402314624202E-3</v>
      </c>
      <c r="BA18" s="3">
        <v>1.6042148094975499E-2</v>
      </c>
      <c r="BB18" s="3">
        <v>1.24888702948882E-2</v>
      </c>
      <c r="BC18" s="3">
        <v>1.9757590775798799E-2</v>
      </c>
      <c r="BD18" s="3">
        <v>0</v>
      </c>
      <c r="BE18" s="3">
        <v>0</v>
      </c>
      <c r="BF18" s="3">
        <v>0</v>
      </c>
      <c r="BG18" s="3">
        <v>1.97979841909844E-2</v>
      </c>
      <c r="BH18" s="3">
        <v>1.8792890279821499E-2</v>
      </c>
      <c r="BI18" s="3">
        <v>2.08481946231646E-2</v>
      </c>
      <c r="BJ18" s="3">
        <v>3.37203225145477E-2</v>
      </c>
      <c r="BK18" s="3">
        <v>-2.0867970453185402E-3</v>
      </c>
      <c r="BL18" s="3">
        <v>2.1407151869905199E-3</v>
      </c>
      <c r="BM18" s="3">
        <v>3.1633525469229103E-2</v>
      </c>
      <c r="BN18" s="3">
        <v>3.5861037701538201E-2</v>
      </c>
      <c r="BO18" s="3">
        <v>1.0285746677034699E-2</v>
      </c>
      <c r="BP18" s="3">
        <v>9.3882319792077795E-3</v>
      </c>
      <c r="BQ18" s="3">
        <v>1.1457044693915799E-2</v>
      </c>
      <c r="BR18" s="3">
        <v>0</v>
      </c>
      <c r="BS18" s="3">
        <v>0</v>
      </c>
      <c r="BT18" s="3">
        <v>0</v>
      </c>
      <c r="BU18" s="3">
        <v>3.6365916465285501E-3</v>
      </c>
      <c r="BV18" s="3">
        <v>2.9820051501534099E-3</v>
      </c>
      <c r="BW18" s="3">
        <v>4.2911781429036903E-3</v>
      </c>
      <c r="BX18" s="3">
        <v>1.3922338323563301E-2</v>
      </c>
      <c r="BY18" s="3">
        <v>1.23702371293612E-2</v>
      </c>
      <c r="BZ18" s="3">
        <v>1.5748222836819401E-2</v>
      </c>
      <c r="CA18">
        <v>1.6682347832380401E-2</v>
      </c>
      <c r="CB18" s="3">
        <v>1.5844792646739499E-2</v>
      </c>
      <c r="CC18">
        <v>0.726159974750481</v>
      </c>
      <c r="CD18">
        <v>4358</v>
      </c>
      <c r="CE18">
        <v>0.102569986232217</v>
      </c>
      <c r="CF18" s="5">
        <v>1.4804148334380899E-2</v>
      </c>
      <c r="CG18" s="5">
        <v>2.70231757687012E-2</v>
      </c>
      <c r="CH18" s="13">
        <v>95.128383901860403</v>
      </c>
      <c r="CI18" s="13">
        <v>91.885468983223802</v>
      </c>
      <c r="CJ18" s="12">
        <v>99.360537227381997</v>
      </c>
      <c r="CK18" s="13">
        <v>95.128383901860403</v>
      </c>
      <c r="CL18" s="13">
        <v>91.885468983223802</v>
      </c>
      <c r="CM18">
        <v>99.360537227381997</v>
      </c>
      <c r="CN18">
        <v>26.710441922856901</v>
      </c>
      <c r="CO18">
        <v>24.092223397283099</v>
      </c>
      <c r="CP18">
        <v>29.353613005469199</v>
      </c>
      <c r="CQ18" t="s">
        <v>66</v>
      </c>
      <c r="CR18" t="s">
        <v>66</v>
      </c>
      <c r="CS18" t="s">
        <v>66</v>
      </c>
      <c r="CT18">
        <v>9.49325977331827</v>
      </c>
      <c r="CU18">
        <v>7.9643412432485103</v>
      </c>
      <c r="CV18">
        <v>11.551442522158601</v>
      </c>
      <c r="CW18">
        <v>24.073445759108999</v>
      </c>
      <c r="CX18">
        <v>21.928995593148102</v>
      </c>
      <c r="CY18">
        <v>26.682089129972201</v>
      </c>
      <c r="CZ18">
        <v>3.59792411545767</v>
      </c>
      <c r="DA18">
        <v>2.7159381765717199</v>
      </c>
      <c r="DB18">
        <v>6.9514051351388</v>
      </c>
      <c r="DC18">
        <v>0</v>
      </c>
      <c r="DD18">
        <v>0</v>
      </c>
      <c r="DE18">
        <v>0</v>
      </c>
      <c r="DF18">
        <v>0.78077149189837802</v>
      </c>
      <c r="DG18">
        <v>0.78077149189837802</v>
      </c>
      <c r="DH18">
        <v>0.219228508101622</v>
      </c>
      <c r="DI18">
        <v>0.41287650356953498</v>
      </c>
      <c r="DJ18">
        <v>0.30503034124862</v>
      </c>
      <c r="DK18">
        <v>71.534403221831397</v>
      </c>
      <c r="DL18">
        <v>3.8277851208673002</v>
      </c>
      <c r="DM18">
        <v>0.82909970258152099</v>
      </c>
      <c r="DN18">
        <v>1.14918517480515E-2</v>
      </c>
      <c r="DO18">
        <v>0.9</v>
      </c>
      <c r="DP18">
        <v>17.326203208556102</v>
      </c>
      <c r="DQ18">
        <v>6.3488741399445603E-2</v>
      </c>
      <c r="DR18">
        <v>-6.1886350915404301E-2</v>
      </c>
      <c r="DS18" s="3">
        <v>0</v>
      </c>
      <c r="DT18" s="3">
        <v>0</v>
      </c>
      <c r="DU18" s="3">
        <v>5.1722412928410901E-3</v>
      </c>
      <c r="DV18" s="3">
        <v>5.0303997555188398E-3</v>
      </c>
      <c r="DW18" s="3">
        <v>5.3612800204987602E-3</v>
      </c>
      <c r="DX18" s="5">
        <v>5.9587925946185498E-3</v>
      </c>
      <c r="DY18" s="5">
        <v>6.80521140665222E-3</v>
      </c>
      <c r="DZ18" s="5">
        <v>5.1123737825848796E-3</v>
      </c>
      <c r="EA18">
        <v>58.0140088595411</v>
      </c>
      <c r="EB18">
        <v>54.406724872862902</v>
      </c>
      <c r="EC18">
        <v>61.8078198615936</v>
      </c>
      <c r="ED18">
        <v>37.164629647885</v>
      </c>
      <c r="EE18">
        <v>37.164629647885</v>
      </c>
      <c r="EF18">
        <v>37.164629647885</v>
      </c>
    </row>
    <row r="19" spans="1:136" x14ac:dyDescent="0.2">
      <c r="A19" t="s">
        <v>105</v>
      </c>
      <c r="B19">
        <v>8.9461014070914207</v>
      </c>
      <c r="C19">
        <v>8.6088788594728101</v>
      </c>
      <c r="D19">
        <v>9.3172785749801807</v>
      </c>
      <c r="E19">
        <v>46.314951467551502</v>
      </c>
      <c r="F19">
        <v>42.719837512615101</v>
      </c>
      <c r="G19">
        <v>50.157066277512797</v>
      </c>
      <c r="H19">
        <v>0</v>
      </c>
      <c r="I19">
        <v>0</v>
      </c>
      <c r="J19">
        <v>0</v>
      </c>
      <c r="K19">
        <v>55.2610528746429</v>
      </c>
      <c r="L19">
        <v>51.639424267955697</v>
      </c>
      <c r="M19">
        <v>59.111991693219203</v>
      </c>
      <c r="N19">
        <v>38.236991834029901</v>
      </c>
      <c r="O19" s="20">
        <v>31.798970707220199</v>
      </c>
      <c r="P19" s="20">
        <v>46.608949870069303</v>
      </c>
      <c r="Q19" s="20">
        <v>0</v>
      </c>
      <c r="R19">
        <v>4.1551173562375103</v>
      </c>
      <c r="S19" s="12">
        <v>97.653162064910305</v>
      </c>
      <c r="T19">
        <v>89.498597836022597</v>
      </c>
      <c r="U19" s="6">
        <v>107.152353815561</v>
      </c>
      <c r="V19" s="7">
        <v>1000</v>
      </c>
      <c r="W19" s="21">
        <v>0.108770400776282</v>
      </c>
      <c r="X19" s="21">
        <v>16.353133799999998</v>
      </c>
      <c r="Y19">
        <v>112.03</v>
      </c>
      <c r="Z19">
        <v>1142.58562965241</v>
      </c>
      <c r="AA19">
        <v>9209</v>
      </c>
      <c r="AB19">
        <v>51783</v>
      </c>
      <c r="AC19" s="6">
        <v>1.82507693639206</v>
      </c>
      <c r="AD19">
        <v>130</v>
      </c>
      <c r="AE19">
        <v>124.215</v>
      </c>
      <c r="AF19">
        <v>93</v>
      </c>
      <c r="AG19">
        <v>49.093000000000004</v>
      </c>
      <c r="AH19">
        <v>123</v>
      </c>
      <c r="AI19" s="4">
        <v>76</v>
      </c>
      <c r="AJ19" s="4">
        <v>37.299999999999997</v>
      </c>
      <c r="AK19" s="4">
        <v>13.1012187633289</v>
      </c>
      <c r="AL19" s="6" t="s">
        <v>37</v>
      </c>
      <c r="AM19" s="11" t="s">
        <v>36</v>
      </c>
      <c r="AN19" s="12" t="s">
        <v>296</v>
      </c>
      <c r="AO19" s="12" t="s">
        <v>37</v>
      </c>
      <c r="AP19" s="12">
        <v>28373</v>
      </c>
      <c r="AQ19">
        <v>5.6239841427155604</v>
      </c>
      <c r="AR19">
        <v>0.42167509967254901</v>
      </c>
      <c r="AS19">
        <v>4.5865769588761797E-2</v>
      </c>
      <c r="AT19" s="12">
        <v>3.43962208462398E-3</v>
      </c>
      <c r="AU19" s="2">
        <f t="shared" si="0"/>
        <v>0.16188800143539123</v>
      </c>
      <c r="AV19" s="2">
        <f t="shared" si="1"/>
        <v>0.83811199856460916</v>
      </c>
      <c r="AW19" s="2">
        <v>0</v>
      </c>
      <c r="AX19" s="3">
        <v>7.8296988645069707E-3</v>
      </c>
      <c r="AY19" s="3">
        <v>7.1297764669895399E-3</v>
      </c>
      <c r="AZ19" s="3">
        <v>8.6000957881025106E-3</v>
      </c>
      <c r="BA19" s="3">
        <v>4.0535212648912099E-2</v>
      </c>
      <c r="BB19" s="3">
        <v>3.30733723999223E-2</v>
      </c>
      <c r="BC19" s="3">
        <v>4.8509715624219601E-2</v>
      </c>
      <c r="BD19" s="3">
        <v>0</v>
      </c>
      <c r="BE19" s="3">
        <v>0</v>
      </c>
      <c r="BF19" s="3">
        <v>0</v>
      </c>
      <c r="BG19" s="3">
        <v>4.8364911513419102E-2</v>
      </c>
      <c r="BH19" s="3">
        <v>4.51952334492998E-2</v>
      </c>
      <c r="BI19" s="3">
        <v>5.1735283692656002E-2</v>
      </c>
      <c r="BJ19" s="3">
        <v>8.5466821506076596E-2</v>
      </c>
      <c r="BK19" s="3">
        <v>-7.1369392518690301E-3</v>
      </c>
      <c r="BL19" s="3">
        <v>8.3137679173690693E-3</v>
      </c>
      <c r="BM19" s="3">
        <v>7.8329882254207506E-2</v>
      </c>
      <c r="BN19" s="3">
        <v>9.3780589423445596E-2</v>
      </c>
      <c r="BO19" s="3">
        <v>3.3465318346128897E-2</v>
      </c>
      <c r="BP19" s="3">
        <v>2.7830711223712799E-2</v>
      </c>
      <c r="BQ19" s="3">
        <v>4.0792522381231502E-2</v>
      </c>
      <c r="BR19" s="3">
        <v>0</v>
      </c>
      <c r="BS19" s="3">
        <v>0</v>
      </c>
      <c r="BT19" s="3">
        <v>0</v>
      </c>
      <c r="BU19" s="3">
        <v>3.6365916465285501E-3</v>
      </c>
      <c r="BV19" s="3">
        <v>2.9820051501534099E-3</v>
      </c>
      <c r="BW19" s="3">
        <v>4.2911781429036903E-3</v>
      </c>
      <c r="BX19" s="3">
        <v>3.71019099926575E-2</v>
      </c>
      <c r="BY19" s="3">
        <v>3.0812716373866199E-2</v>
      </c>
      <c r="BZ19" s="3">
        <v>4.5083700524135198E-2</v>
      </c>
      <c r="CA19">
        <v>4.5818207450745397E-3</v>
      </c>
      <c r="CB19" s="3">
        <v>4.3779297219187297E-3</v>
      </c>
      <c r="CC19">
        <v>0.92388966000884098</v>
      </c>
      <c r="CD19">
        <v>5045</v>
      </c>
      <c r="CE19">
        <v>1.8434093161546102E-2</v>
      </c>
      <c r="CF19" s="5">
        <v>5.3309805624932099E-3</v>
      </c>
      <c r="CG19" s="5">
        <v>9.73102081268583E-3</v>
      </c>
      <c r="CH19" s="13">
        <v>84.551943301581403</v>
      </c>
      <c r="CI19" s="13">
        <v>78.113922174771702</v>
      </c>
      <c r="CJ19" s="12">
        <v>92.923901337620705</v>
      </c>
      <c r="CK19" s="13">
        <v>84.551943301581403</v>
      </c>
      <c r="CL19" s="13">
        <v>78.113922174771702</v>
      </c>
      <c r="CM19">
        <v>92.923901337620705</v>
      </c>
      <c r="CN19">
        <v>13.1012187633289</v>
      </c>
      <c r="CO19">
        <v>12.0160750915876</v>
      </c>
      <c r="CP19">
        <v>14.2203170553404</v>
      </c>
      <c r="CQ19" t="s">
        <v>66</v>
      </c>
      <c r="CR19" t="s">
        <v>66</v>
      </c>
      <c r="CS19" t="s">
        <v>66</v>
      </c>
      <c r="CT19">
        <v>12.795884605541801</v>
      </c>
      <c r="CU19">
        <v>11.341733897714001</v>
      </c>
      <c r="CV19">
        <v>14.315259545719501</v>
      </c>
      <c r="CW19">
        <v>10.7534037239139</v>
      </c>
      <c r="CX19">
        <v>8.3043925563032506</v>
      </c>
      <c r="CY19">
        <v>15.365421143844101</v>
      </c>
      <c r="CZ19">
        <v>14.6877035045742</v>
      </c>
      <c r="DA19">
        <v>9.7218579768041309</v>
      </c>
      <c r="DB19">
        <v>22.035026118902401</v>
      </c>
      <c r="DC19">
        <v>0</v>
      </c>
      <c r="DD19">
        <v>0</v>
      </c>
      <c r="DE19">
        <v>0</v>
      </c>
      <c r="DF19">
        <v>0.86583847988798401</v>
      </c>
      <c r="DG19">
        <v>0.86583847988798401</v>
      </c>
      <c r="DH19">
        <v>0.13416152011201599</v>
      </c>
      <c r="DI19">
        <v>0.43410330016806797</v>
      </c>
      <c r="DJ19">
        <v>0.39155305593948397</v>
      </c>
      <c r="DK19">
        <v>55.2610528746429</v>
      </c>
      <c r="DL19">
        <v>5.70708678223437</v>
      </c>
      <c r="DM19">
        <v>0.22647881658124999</v>
      </c>
      <c r="DN19">
        <v>1.14918517480515E-2</v>
      </c>
      <c r="DO19">
        <v>0.9</v>
      </c>
      <c r="DP19">
        <v>17.326203208556102</v>
      </c>
      <c r="DQ19">
        <v>9.7272678773398402E-2</v>
      </c>
      <c r="DR19">
        <v>-8.3492219282046795E-2</v>
      </c>
      <c r="DS19" s="3">
        <v>0</v>
      </c>
      <c r="DT19" s="3">
        <v>0</v>
      </c>
      <c r="DU19" s="3">
        <v>8.4749070747580802E-3</v>
      </c>
      <c r="DV19" s="3">
        <v>8.1136749240721708E-3</v>
      </c>
      <c r="DW19" s="3">
        <v>9.0008933721964501E-3</v>
      </c>
      <c r="DX19" s="5">
        <v>5.9587925946185498E-3</v>
      </c>
      <c r="DY19" s="5">
        <v>6.80521140665222E-3</v>
      </c>
      <c r="DZ19" s="5">
        <v>5.1123737825848796E-3</v>
      </c>
      <c r="EA19">
        <v>46.360010552750097</v>
      </c>
      <c r="EB19">
        <v>42.742753620442002</v>
      </c>
      <c r="EC19">
        <v>50.2202374594604</v>
      </c>
      <c r="ED19">
        <v>38.236991834029901</v>
      </c>
      <c r="EE19">
        <v>38.236991834029901</v>
      </c>
      <c r="EF19">
        <v>38.236991834029901</v>
      </c>
    </row>
    <row r="20" spans="1:136" x14ac:dyDescent="0.2">
      <c r="A20" t="s">
        <v>129</v>
      </c>
      <c r="B20">
        <v>1.1123090032182401</v>
      </c>
      <c r="C20">
        <v>0.97338802330099805</v>
      </c>
      <c r="D20">
        <v>1.28058548917163</v>
      </c>
      <c r="E20">
        <v>19.4248111457694</v>
      </c>
      <c r="F20">
        <v>16.225261001647201</v>
      </c>
      <c r="G20">
        <v>22.594974940377298</v>
      </c>
      <c r="H20">
        <v>0</v>
      </c>
      <c r="I20">
        <v>0</v>
      </c>
      <c r="J20">
        <v>0</v>
      </c>
      <c r="K20">
        <v>20.537120148987601</v>
      </c>
      <c r="L20">
        <v>17.3301771415357</v>
      </c>
      <c r="M20">
        <v>23.707240191979</v>
      </c>
      <c r="N20">
        <v>3.3981761535513302</v>
      </c>
      <c r="O20" s="20">
        <v>1.9954665167310901</v>
      </c>
      <c r="P20" s="20">
        <v>5.0193139459829004</v>
      </c>
      <c r="Q20" s="20">
        <v>0</v>
      </c>
      <c r="R20">
        <v>9.0260915871393905</v>
      </c>
      <c r="S20" s="12">
        <v>32.961387889678399</v>
      </c>
      <c r="T20">
        <v>27.7162840887786</v>
      </c>
      <c r="U20" s="6">
        <v>38.408360496768601</v>
      </c>
      <c r="V20" s="7">
        <v>1000</v>
      </c>
      <c r="W20" s="21">
        <v>6.6973406517720699E-2</v>
      </c>
      <c r="X20" s="21">
        <v>495.44525599999997</v>
      </c>
      <c r="Y20">
        <v>495.44525599999997</v>
      </c>
      <c r="Z20">
        <v>5095.6287949732596</v>
      </c>
      <c r="AA20">
        <v>2996</v>
      </c>
      <c r="AB20">
        <v>4039</v>
      </c>
      <c r="AC20" s="6">
        <v>1.2580446390776701</v>
      </c>
      <c r="AD20">
        <v>12</v>
      </c>
      <c r="AE20">
        <v>11</v>
      </c>
      <c r="AF20">
        <v>12</v>
      </c>
      <c r="AG20">
        <v>11.48</v>
      </c>
      <c r="AH20">
        <v>4</v>
      </c>
      <c r="AI20" s="4">
        <v>4</v>
      </c>
      <c r="AJ20" s="4">
        <v>3</v>
      </c>
      <c r="AK20" s="4">
        <v>10.1384005903576</v>
      </c>
      <c r="AL20" s="6" t="s">
        <v>37</v>
      </c>
      <c r="AM20" s="11" t="s">
        <v>36</v>
      </c>
      <c r="AN20" s="12" t="s">
        <v>296</v>
      </c>
      <c r="AO20" s="12" t="s">
        <v>37</v>
      </c>
      <c r="AP20" s="12">
        <v>3210</v>
      </c>
      <c r="AQ20">
        <v>1.3481730365392699</v>
      </c>
      <c r="AR20">
        <v>0.86124592787809695</v>
      </c>
      <c r="AS20">
        <v>5.7680573639511297E-2</v>
      </c>
      <c r="AT20" s="12">
        <v>2.1178850725636299E-3</v>
      </c>
      <c r="AU20" s="2">
        <f t="shared" si="0"/>
        <v>5.416090450603283E-2</v>
      </c>
      <c r="AV20" s="2">
        <f t="shared" si="1"/>
        <v>0.94583909549396905</v>
      </c>
      <c r="AW20" s="2">
        <v>0</v>
      </c>
      <c r="AX20" s="3">
        <v>2.1828689804004401E-4</v>
      </c>
      <c r="AY20" s="3">
        <v>1.8663185754341099E-4</v>
      </c>
      <c r="AZ20" s="3">
        <v>2.5663099106802798E-4</v>
      </c>
      <c r="BA20" s="3">
        <v>3.8120538067709302E-3</v>
      </c>
      <c r="BB20" s="3">
        <v>3.0829926567305802E-3</v>
      </c>
      <c r="BC20" s="3">
        <v>4.5344188761726398E-3</v>
      </c>
      <c r="BD20" s="3">
        <v>0</v>
      </c>
      <c r="BE20" s="3">
        <v>0</v>
      </c>
      <c r="BF20" s="3">
        <v>0</v>
      </c>
      <c r="BG20" s="3">
        <v>4.0303407048109799E-3</v>
      </c>
      <c r="BH20" s="3">
        <v>3.4009889336192602E-3</v>
      </c>
      <c r="BI20" s="3">
        <v>4.6524660931670904E-3</v>
      </c>
      <c r="BJ20" s="3">
        <v>6.4685614309649298E-3</v>
      </c>
      <c r="BK20" s="3">
        <v>-1.02933396680582E-3</v>
      </c>
      <c r="BL20" s="3">
        <v>1.06895004056487E-3</v>
      </c>
      <c r="BM20" s="3">
        <v>5.4392274641591101E-3</v>
      </c>
      <c r="BN20" s="3">
        <v>7.5375114715298102E-3</v>
      </c>
      <c r="BO20" s="3">
        <v>6.6688063245571596E-4</v>
      </c>
      <c r="BP20" s="3">
        <v>3.9160358751005799E-4</v>
      </c>
      <c r="BQ20" s="3">
        <v>9.850234677483481E-4</v>
      </c>
      <c r="BR20" s="3">
        <v>0</v>
      </c>
      <c r="BS20" s="3">
        <v>0</v>
      </c>
      <c r="BT20" s="3">
        <v>0</v>
      </c>
      <c r="BU20" s="3">
        <v>1.7713400936982401E-3</v>
      </c>
      <c r="BV20" s="3">
        <v>1.4524988768325601E-3</v>
      </c>
      <c r="BW20" s="3">
        <v>2.09018131056393E-3</v>
      </c>
      <c r="BX20" s="3">
        <v>2.4382207261539599E-3</v>
      </c>
      <c r="BY20" s="3">
        <v>1.8441024643426199E-3</v>
      </c>
      <c r="BZ20" s="3">
        <v>3.0752047783122699E-3</v>
      </c>
      <c r="CA20">
        <v>3.7383177570093499E-3</v>
      </c>
      <c r="CB20" s="3">
        <v>3.42679127725857E-3</v>
      </c>
      <c r="CC20">
        <v>1</v>
      </c>
      <c r="CD20">
        <v>2381</v>
      </c>
      <c r="CE20">
        <v>5.03989920201596E-3</v>
      </c>
      <c r="CF20" s="5">
        <v>3.8317757009345798E-3</v>
      </c>
      <c r="CG20" s="5">
        <v>4.8215035699286004E-3</v>
      </c>
      <c r="CH20" s="13">
        <v>22.822987299320701</v>
      </c>
      <c r="CI20" s="13">
        <v>21.420277662500499</v>
      </c>
      <c r="CJ20" s="12">
        <v>24.444125091752301</v>
      </c>
      <c r="CK20" s="13">
        <v>22.822987299320701</v>
      </c>
      <c r="CL20" s="13">
        <v>21.420277662500499</v>
      </c>
      <c r="CM20">
        <v>24.444125091752301</v>
      </c>
      <c r="CN20">
        <v>10.1384005903576</v>
      </c>
      <c r="CO20">
        <v>8.3747831247553002</v>
      </c>
      <c r="CP20">
        <v>11.9313735619961</v>
      </c>
      <c r="CQ20" t="s">
        <v>66</v>
      </c>
      <c r="CR20" t="s">
        <v>66</v>
      </c>
      <c r="CS20" t="s">
        <v>66</v>
      </c>
      <c r="CT20">
        <v>0.53582661577001101</v>
      </c>
      <c r="CU20">
        <v>7.4348124889387204E-2</v>
      </c>
      <c r="CV20">
        <v>1.3641708151584999</v>
      </c>
      <c r="CW20">
        <v>2.86234953778132</v>
      </c>
      <c r="CX20">
        <v>1.7478377379341301</v>
      </c>
      <c r="CY20">
        <v>4.0999652625754397</v>
      </c>
      <c r="CZ20">
        <v>0</v>
      </c>
      <c r="DA20">
        <v>0</v>
      </c>
      <c r="DB20">
        <v>0</v>
      </c>
      <c r="DC20">
        <v>0</v>
      </c>
      <c r="DD20">
        <v>0</v>
      </c>
      <c r="DE20">
        <v>0</v>
      </c>
      <c r="DF20">
        <v>0.69241548571709899</v>
      </c>
      <c r="DG20">
        <v>0.69241548571709899</v>
      </c>
      <c r="DH20">
        <v>0.30758451428290101</v>
      </c>
      <c r="DI20">
        <v>0.37693378354922302</v>
      </c>
      <c r="DJ20">
        <v>0.103095053188341</v>
      </c>
      <c r="DK20">
        <v>20.537120148987601</v>
      </c>
      <c r="DL20">
        <v>18.465205455627</v>
      </c>
      <c r="DM20">
        <v>2.1401212914629402</v>
      </c>
      <c r="DN20">
        <v>5.4988291489690196E-3</v>
      </c>
      <c r="DO20">
        <v>0.9</v>
      </c>
      <c r="DP20">
        <v>17.326203208556102</v>
      </c>
      <c r="DQ20">
        <v>0.16526248450520201</v>
      </c>
      <c r="DR20">
        <v>-0.15912633891178601</v>
      </c>
      <c r="DS20" s="3">
        <v>0</v>
      </c>
      <c r="DT20" s="3">
        <v>0</v>
      </c>
      <c r="DU20" s="3">
        <v>2.1828689804004401E-4</v>
      </c>
      <c r="DV20" s="3">
        <v>1.91024123315503E-4</v>
      </c>
      <c r="DW20" s="3">
        <v>2.5131059201857401E-4</v>
      </c>
      <c r="DX20" s="5">
        <v>3.0734467370106002E-3</v>
      </c>
      <c r="DY20" s="5">
        <v>3.5100155711631099E-3</v>
      </c>
      <c r="DZ20" s="5">
        <v>2.6368779028580801E-3</v>
      </c>
      <c r="EA20">
        <v>19.745809296349702</v>
      </c>
      <c r="EB20">
        <v>16.575783521179201</v>
      </c>
      <c r="EC20">
        <v>22.8447957949416</v>
      </c>
      <c r="ED20">
        <v>3.3981761535513302</v>
      </c>
      <c r="EE20">
        <v>3.3981761535513302</v>
      </c>
      <c r="EF20">
        <v>3.3981761535513302</v>
      </c>
    </row>
    <row r="21" spans="1:136" x14ac:dyDescent="0.2">
      <c r="A21" t="s">
        <v>74</v>
      </c>
      <c r="U21" s="4"/>
      <c r="V21" s="7"/>
      <c r="AI21" s="11">
        <v>1</v>
      </c>
      <c r="AJ21" s="11"/>
      <c r="AK21" s="4"/>
      <c r="AL21" s="6"/>
      <c r="AM21" s="6"/>
      <c r="AN21" s="6"/>
      <c r="AO21" s="6"/>
      <c r="AP21" s="6"/>
      <c r="AT21" s="12">
        <v>4.7999999999999996E-3</v>
      </c>
      <c r="AU21" s="2"/>
      <c r="AV21" s="2"/>
      <c r="AW21" s="2"/>
      <c r="AX21" s="3">
        <f>BG21</f>
        <v>4.9420000000000002E-3</v>
      </c>
      <c r="AY21" s="3">
        <f t="shared" ref="AY21:AZ21" si="2">BH21</f>
        <v>3.9430225921521997E-3</v>
      </c>
      <c r="AZ21" s="3">
        <f t="shared" si="2"/>
        <v>5.9850499405469677E-3</v>
      </c>
      <c r="BG21" s="3">
        <v>4.9420000000000002E-3</v>
      </c>
      <c r="BH21" s="5">
        <f>$BG$21+BK21*$BG$21/$BJ$21</f>
        <v>3.9430225921521997E-3</v>
      </c>
      <c r="BI21" s="5">
        <f>$BG$21+BL21*$BG$21/$BJ$21</f>
        <v>5.9850499405469677E-3</v>
      </c>
      <c r="BJ21" s="3">
        <f>BG21+BU21</f>
        <v>1.0092E-2</v>
      </c>
      <c r="BK21" s="3">
        <v>-2.0400000000000001E-3</v>
      </c>
      <c r="BL21" s="3">
        <v>2.1299999999999999E-3</v>
      </c>
      <c r="BM21" s="3">
        <f>BJ21+BK21</f>
        <v>8.0520000000000001E-3</v>
      </c>
      <c r="BN21" s="3">
        <f>BJ21+BL21</f>
        <v>1.2222E-2</v>
      </c>
      <c r="BO21" s="3"/>
      <c r="BP21" s="3"/>
      <c r="BQ21" s="3"/>
      <c r="BR21" s="3"/>
      <c r="BT21"/>
      <c r="BU21" s="3">
        <v>5.1500000000000001E-3</v>
      </c>
      <c r="BV21" s="5">
        <f>$BU$21+BK21*$BU$21/$BJ$21</f>
        <v>4.1089774078478004E-3</v>
      </c>
      <c r="BW21" s="5">
        <f>$BU$21+BL21*$BU$21/$BJ$21</f>
        <v>6.2369500594530326E-3</v>
      </c>
      <c r="BX21"/>
    </row>
    <row r="22" spans="1:136" x14ac:dyDescent="0.2">
      <c r="Y22" t="s">
        <v>83</v>
      </c>
      <c r="Z22" s="14">
        <f>Z23/Z26</f>
        <v>0.28137143865946168</v>
      </c>
      <c r="AP22" s="11"/>
      <c r="AQ22" s="4"/>
      <c r="AR22" s="6"/>
      <c r="AS22" s="6"/>
      <c r="AT22" s="6"/>
      <c r="AU22" s="6"/>
      <c r="AY22" s="3"/>
      <c r="AZ22" s="2"/>
      <c r="BA22" s="2"/>
      <c r="BB22" s="2"/>
      <c r="BC22" s="2"/>
      <c r="BD22" s="2"/>
      <c r="BE22" s="2"/>
      <c r="BF22" s="3"/>
      <c r="BG22" s="3"/>
      <c r="BH22" s="2"/>
      <c r="BI22" s="2"/>
      <c r="BJ22" s="3"/>
      <c r="BK22" s="3"/>
      <c r="BL22" s="3"/>
      <c r="BM22" s="3"/>
      <c r="BN22" s="3"/>
      <c r="BO22" s="3"/>
      <c r="BP22" s="3"/>
      <c r="BR22" s="7"/>
      <c r="BS22" s="3"/>
      <c r="BT22" s="3"/>
      <c r="BU22" s="3"/>
      <c r="BV22"/>
      <c r="BW22"/>
      <c r="BX22"/>
    </row>
    <row r="23" spans="1:136" x14ac:dyDescent="0.2">
      <c r="A23" t="s">
        <v>51</v>
      </c>
      <c r="C23" s="10"/>
      <c r="D23" s="19"/>
      <c r="K23" s="10">
        <f>K3+K7+K13+K14+K15+K16</f>
        <v>407.91804359649961</v>
      </c>
      <c r="L23" s="10">
        <f>L3+L7+L13+L14+L15+L16</f>
        <v>388.22301307498282</v>
      </c>
      <c r="M23" s="10">
        <f>M3+M7+M13+M14+M15+M16</f>
        <v>429.38229329973052</v>
      </c>
      <c r="N23" s="10">
        <f>N3+N7+N13+N14+N15+N16</f>
        <v>231.45640402877385</v>
      </c>
      <c r="O23" s="10">
        <f>O3+O7+O13+O14+O15+O16</f>
        <v>213.6337752790528</v>
      </c>
      <c r="P23" s="10">
        <f>P3+P7+P13+P14+P15+P16</f>
        <v>252.27873409424373</v>
      </c>
      <c r="Q23" s="10">
        <f>Q3+Q7+Q13+Q14+Q15+Q16</f>
        <v>1.9173474611903001</v>
      </c>
      <c r="R23" s="10">
        <f>R3+R7+R13+R14+R15+R16</f>
        <v>67.289424032010345</v>
      </c>
      <c r="S23" s="10">
        <f>S3+S7+S13+S14+S15+S16</f>
        <v>708.58121911847377</v>
      </c>
      <c r="T23" s="10">
        <f>T3+T7+T13+T14+T15+T16</f>
        <v>669.40428578386047</v>
      </c>
      <c r="U23" s="10">
        <f>U3+U7+U13+U14+U15+U16</f>
        <v>751.26390947987272</v>
      </c>
      <c r="Z23" s="10">
        <f>Z3+Z7+Z13+Z14+Z15+Z16</f>
        <v>23994.400973294123</v>
      </c>
      <c r="AA23" s="10">
        <f>AA3+AA7+AA13+AA14+AA15+AA16</f>
        <v>170569</v>
      </c>
      <c r="AB23" s="10">
        <f>AB3+AB7+AB13+AB14+AB15+AB16</f>
        <v>549072</v>
      </c>
      <c r="AG23" s="10">
        <f>AG3+AG7+AG13+AG14+AG15+AG16</f>
        <v>601.44500000000005</v>
      </c>
      <c r="AH23" s="10"/>
      <c r="AI23" s="10"/>
      <c r="AJ23" s="10"/>
      <c r="AP23" s="11">
        <v>1</v>
      </c>
      <c r="AQ23" s="10">
        <f>AQ3+AQ7+AQ13+AQ14+AQ15+AQ16</f>
        <v>18.606750862182061</v>
      </c>
      <c r="AR23">
        <f>AB23/AA23</f>
        <v>3.219060907902374</v>
      </c>
      <c r="BE23" s="3">
        <f>S23/$Z23</f>
        <v>2.9531106857267571E-2</v>
      </c>
      <c r="BF23" s="3">
        <f>T23/$Z23</f>
        <v>2.7898353725475809E-2</v>
      </c>
      <c r="BG23" s="3">
        <f>U23/$Z23</f>
        <v>3.1309967284285735E-2</v>
      </c>
      <c r="BR23" s="10">
        <f>BR3+BR7+BR13+BR14+BR15+BR16</f>
        <v>3.0115379011423299E-3</v>
      </c>
      <c r="BS23"/>
      <c r="BT23"/>
      <c r="BU23" s="3">
        <f>AG23/BR23</f>
        <v>199713.57483890915</v>
      </c>
      <c r="BV23" s="10">
        <f>BV3+BV7+BV13+BV14+BV15+BV16</f>
        <v>1.6581009126096051E-2</v>
      </c>
      <c r="BW23" s="12"/>
      <c r="BX23" s="12"/>
      <c r="BY23" s="12"/>
      <c r="BZ23" s="12"/>
      <c r="CA23" s="12"/>
      <c r="CB23" s="12"/>
      <c r="CC23" s="12"/>
      <c r="CH23" s="10">
        <f>CH3+CH7+CH13+CH14+CH15+CH16</f>
        <v>526.94104004018186</v>
      </c>
      <c r="EA23" s="10">
        <f>EA3+EA7+EA13+EA14+EA15+EA16</f>
        <v>296.25626769651876</v>
      </c>
      <c r="EB23" s="10">
        <f>EB3+EB7+EB13+EB14+EB15+EB16</f>
        <v>276.93105704422908</v>
      </c>
      <c r="EC23" s="10">
        <f>EC3+EC7+EC13+EC14+EC15+EC16</f>
        <v>317.32595134519454</v>
      </c>
      <c r="ED23" s="10">
        <f>ED3+ED7+ED13+ED14+ED15+ED16</f>
        <v>231.45640402877385</v>
      </c>
      <c r="EE23" s="10">
        <f>EE3+EE7+EE13+EE14+EE15+EE16</f>
        <v>231.45640402877385</v>
      </c>
      <c r="EF23" s="10">
        <f>EF3+EF7+EF13+EF14+EF15+EF16</f>
        <v>231.45640402877385</v>
      </c>
    </row>
    <row r="24" spans="1:136" x14ac:dyDescent="0.2">
      <c r="A24" t="s">
        <v>52</v>
      </c>
      <c r="N24" s="10">
        <f>N23+Q23+R23</f>
        <v>300.66317552197449</v>
      </c>
      <c r="S24">
        <f>SUM(S2:S16)</f>
        <v>1354.5582154748649</v>
      </c>
      <c r="T24">
        <f>SUM(T2:T16)</f>
        <v>1268.7128537158706</v>
      </c>
      <c r="U24">
        <f>SUM(U2:U16)</f>
        <v>1449.1696722918955</v>
      </c>
      <c r="Z24">
        <f>SUM(Z2:Z16)</f>
        <v>45847.975985470592</v>
      </c>
      <c r="AA24">
        <f>SUM(AA2:AA16)</f>
        <v>398499</v>
      </c>
      <c r="AB24">
        <f>SUM(AB2:AB16)</f>
        <v>1714261</v>
      </c>
      <c r="AG24">
        <f>SUM(AG2:AG16)</f>
        <v>1281.383</v>
      </c>
      <c r="AP24" s="11">
        <v>1</v>
      </c>
      <c r="AQ24">
        <f>SUM(AQ2:AQ16)</f>
        <v>62.970182045019286</v>
      </c>
      <c r="AR24" s="10">
        <f>AQ24/BR23</f>
        <v>20909.642884166784</v>
      </c>
      <c r="BE24" s="3">
        <f>S24/$Z24</f>
        <v>2.9544558649745627E-2</v>
      </c>
      <c r="BF24" s="3">
        <f>T24/$Z24</f>
        <v>2.7672167122883042E-2</v>
      </c>
      <c r="BG24" s="3">
        <f>U24/$Z24</f>
        <v>3.1608149348864238E-2</v>
      </c>
      <c r="BR24">
        <f>SUM(BR2:BR16)</f>
        <v>5.54651010527596E-3</v>
      </c>
      <c r="BS24"/>
      <c r="BT24"/>
      <c r="BU24" s="3">
        <f>AG24/BR24</f>
        <v>231025.09067478683</v>
      </c>
      <c r="BV24" s="3"/>
      <c r="BW24" s="12"/>
      <c r="BX24" s="12"/>
      <c r="BY24" s="12"/>
      <c r="BZ24" s="12"/>
      <c r="CA24" s="12"/>
      <c r="CB24" s="12"/>
      <c r="CC24" s="12"/>
      <c r="CG24" t="s">
        <v>135</v>
      </c>
      <c r="CH24">
        <f>CH23/S23</f>
        <v>0.74365651505092756</v>
      </c>
      <c r="DZ24" t="s">
        <v>135</v>
      </c>
      <c r="EA24">
        <f>EA23/K23</f>
        <v>0.72626419043519108</v>
      </c>
      <c r="ED24">
        <f>ED23/N24</f>
        <v>0.76981959505665321</v>
      </c>
    </row>
    <row r="25" spans="1:136" x14ac:dyDescent="0.2">
      <c r="A25" t="s">
        <v>113</v>
      </c>
      <c r="S25">
        <f>S3+S7+S13+S15+S16</f>
        <v>632.14801245893284</v>
      </c>
      <c r="T25">
        <f>T3+T7+T13+T15+T16</f>
        <v>602.28678279160056</v>
      </c>
      <c r="U25">
        <f>U3+U7+U13+U15+U16</f>
        <v>664.94563932928588</v>
      </c>
      <c r="Z25">
        <f>Z3+Z7+Z13+Z15+Z16</f>
        <v>13751.920933989324</v>
      </c>
      <c r="BE25" s="3">
        <f>S25/$Z25</f>
        <v>4.5967978982231664E-2</v>
      </c>
      <c r="BF25" s="3">
        <f>T25/$Z25</f>
        <v>4.3796556545273993E-2</v>
      </c>
      <c r="BG25" s="3">
        <f>U25/$Z25</f>
        <v>4.835292774886471E-2</v>
      </c>
      <c r="BR25"/>
      <c r="BS25"/>
      <c r="BT25"/>
      <c r="BU25"/>
      <c r="BV25"/>
      <c r="BY25" s="13"/>
      <c r="BZ25" s="13"/>
      <c r="CA25" s="13"/>
      <c r="CB25" s="13"/>
      <c r="CC25" s="13"/>
    </row>
    <row r="26" spans="1:136" x14ac:dyDescent="0.2">
      <c r="R26" t="s">
        <v>116</v>
      </c>
      <c r="S26">
        <v>1500</v>
      </c>
      <c r="Y26" t="s">
        <v>84</v>
      </c>
      <c r="Z26">
        <v>85276.604788356199</v>
      </c>
      <c r="BR26"/>
      <c r="BS26"/>
      <c r="BT26"/>
      <c r="BU26"/>
      <c r="BV26"/>
      <c r="BX26" s="1"/>
      <c r="BY26" s="13"/>
      <c r="BZ26" s="13"/>
      <c r="CA26" s="13"/>
      <c r="CB26" s="13"/>
      <c r="CC26" s="13"/>
      <c r="CO26" t="s">
        <v>134</v>
      </c>
      <c r="CP26">
        <f>0.7303</f>
        <v>0.73029999999999995</v>
      </c>
    </row>
    <row r="27" spans="1:136" x14ac:dyDescent="0.2">
      <c r="A27" t="s">
        <v>108</v>
      </c>
      <c r="R27" t="s">
        <v>117</v>
      </c>
      <c r="S27">
        <v>8760</v>
      </c>
      <c r="Y27" t="s">
        <v>267</v>
      </c>
      <c r="AA27" s="10">
        <f>SUM(W2:W6)</f>
        <v>0.24846292305577239</v>
      </c>
      <c r="AB27" s="10">
        <f>SUM(X2:X6)</f>
        <v>64.229338331515066</v>
      </c>
      <c r="AD27" s="10">
        <f>SUM(Z2:Z6)</f>
        <v>29423.656768716588</v>
      </c>
      <c r="AE27" s="10">
        <f>SUM(AA2:AA6)</f>
        <v>162037</v>
      </c>
      <c r="AF27" s="10">
        <f>SUM(AB2:AB6)</f>
        <v>643575</v>
      </c>
      <c r="AG27" s="10">
        <f>SUM(AC2:AC6)</f>
        <v>8.5003077455682394</v>
      </c>
      <c r="AH27" s="10">
        <f>SUM(AD2:AD6)</f>
        <v>2783</v>
      </c>
      <c r="AI27" s="10">
        <f>SUM(AE2:AE6)</f>
        <v>3804.0010000000002</v>
      </c>
      <c r="AJ27" s="10"/>
      <c r="AQ27" s="10">
        <f>SUM(AK2:AK6)</f>
        <v>272.15154827075128</v>
      </c>
      <c r="AR27">
        <f>AQ27/BR27</f>
        <v>1312.8680186352483</v>
      </c>
      <c r="BR27" s="10">
        <f>SUM(BM2:BM6)</f>
        <v>0.20729543595224301</v>
      </c>
      <c r="BS27"/>
      <c r="BT27"/>
      <c r="BU27"/>
      <c r="BV27"/>
      <c r="BX27" s="1"/>
      <c r="BY27" s="13"/>
      <c r="BZ27" s="13"/>
      <c r="CA27" s="13"/>
      <c r="CB27" s="13"/>
      <c r="CC27" s="13"/>
    </row>
    <row r="28" spans="1:136" x14ac:dyDescent="0.2">
      <c r="A28" t="s">
        <v>109</v>
      </c>
      <c r="R28" t="s">
        <v>126</v>
      </c>
      <c r="S28">
        <v>82.5</v>
      </c>
      <c r="T28" t="s">
        <v>127</v>
      </c>
      <c r="U28" t="s">
        <v>128</v>
      </c>
      <c r="AA28" s="10">
        <f>SUM(W7:W11)</f>
        <v>0.66925629602907999</v>
      </c>
      <c r="AB28" s="10">
        <f>SUM(X7:X11)</f>
        <v>80.237423199999995</v>
      </c>
      <c r="AD28" s="10">
        <f>SUM(Z7:Z11)</f>
        <v>1224.3124374545469</v>
      </c>
      <c r="AE28" s="10">
        <f>SUM(AA7:AA11)</f>
        <v>180339</v>
      </c>
      <c r="AF28" s="10">
        <f>SUM(AB7:AB11)</f>
        <v>870400</v>
      </c>
      <c r="AG28" s="10">
        <f>SUM(AC7:AC11)</f>
        <v>9.4819814098216195</v>
      </c>
      <c r="AH28" s="10">
        <f>SUM(AD7:AD11)</f>
        <v>352</v>
      </c>
      <c r="AI28" s="10">
        <f>SUM(AE7:AE11)</f>
        <v>326.3</v>
      </c>
      <c r="AJ28" s="10"/>
      <c r="AQ28" s="10">
        <f>SUM(AK7:AK11)</f>
        <v>15.658434172122259</v>
      </c>
      <c r="AR28">
        <f t="shared" ref="AR28:AR30" si="3">AQ28/BR28</f>
        <v>86.674193387659159</v>
      </c>
      <c r="BR28" s="10">
        <f>SUM(BM7:BM11)</f>
        <v>0.1806585508340218</v>
      </c>
      <c r="BS28"/>
      <c r="BT28"/>
      <c r="BU28"/>
      <c r="BV28"/>
      <c r="BX28"/>
      <c r="BY28" s="13"/>
      <c r="BZ28" s="13"/>
      <c r="CA28" s="13"/>
      <c r="CB28" s="13"/>
      <c r="CC28" s="13"/>
    </row>
    <row r="29" spans="1:136" x14ac:dyDescent="0.2">
      <c r="A29" t="s">
        <v>110</v>
      </c>
      <c r="R29" t="s">
        <v>123</v>
      </c>
      <c r="S29" s="14">
        <f>S23*$S$27</f>
        <v>6207171.4794778302</v>
      </c>
      <c r="T29" s="14">
        <f>T23*$S$27</f>
        <v>5863981.5434666174</v>
      </c>
      <c r="U29" s="14">
        <f>U23*$S$27</f>
        <v>6581071.8470436847</v>
      </c>
      <c r="AA29" s="10">
        <f>W12+W13</f>
        <v>0.13570127214307459</v>
      </c>
      <c r="AB29" s="10">
        <f>X12+X13</f>
        <v>21.262557299999997</v>
      </c>
      <c r="AD29" s="10">
        <f t="shared" ref="AD29:AI29" si="4">Z12+Z13</f>
        <v>3970.1202531016097</v>
      </c>
      <c r="AE29" s="10">
        <f t="shared" si="4"/>
        <v>23359</v>
      </c>
      <c r="AF29" s="10">
        <f t="shared" si="4"/>
        <v>127167</v>
      </c>
      <c r="AG29" s="10">
        <f t="shared" si="4"/>
        <v>3.2176052236405002</v>
      </c>
      <c r="AH29" s="10">
        <f t="shared" si="4"/>
        <v>74</v>
      </c>
      <c r="AI29" s="10">
        <f t="shared" si="4"/>
        <v>58.753</v>
      </c>
      <c r="AJ29" s="10"/>
      <c r="AQ29" s="10">
        <f>AK12+AK13</f>
        <v>36.972357147801702</v>
      </c>
      <c r="AR29">
        <f t="shared" si="3"/>
        <v>1821.6650104998801</v>
      </c>
      <c r="BR29" s="10">
        <f>BM12+BM13</f>
        <v>2.0295914416040839E-2</v>
      </c>
      <c r="BS29"/>
      <c r="BT29"/>
      <c r="BU29"/>
      <c r="BV29"/>
      <c r="BX29"/>
      <c r="BY29" s="13"/>
      <c r="BZ29" s="13"/>
      <c r="CA29" s="13"/>
      <c r="CB29" s="13"/>
      <c r="CC29" s="13"/>
    </row>
    <row r="30" spans="1:136" x14ac:dyDescent="0.2">
      <c r="A30" t="s">
        <v>112</v>
      </c>
      <c r="R30" t="s">
        <v>125</v>
      </c>
      <c r="S30" s="14">
        <f>S29*$S$28</f>
        <v>512091647.05692101</v>
      </c>
      <c r="T30" s="14">
        <f>T29*$S$28</f>
        <v>483778477.33599591</v>
      </c>
      <c r="U30" s="14">
        <f>U29*$S$28</f>
        <v>542938427.38110399</v>
      </c>
      <c r="AA30" s="16">
        <f>SUM(AA27:AA29)</f>
        <v>1.053420491227927</v>
      </c>
      <c r="AB30" s="16">
        <f>SUM(AB27:AB29)</f>
        <v>165.72931883151506</v>
      </c>
      <c r="AQ30" s="10">
        <f>SUM(AQ27:AQ29)</f>
        <v>324.78233959067524</v>
      </c>
      <c r="AR30">
        <f t="shared" si="3"/>
        <v>795.54787064046684</v>
      </c>
      <c r="BR30" s="10">
        <f>SUM(BR27:BR29)</f>
        <v>0.40824990120230564</v>
      </c>
      <c r="BS30"/>
      <c r="BT30"/>
      <c r="BU30"/>
      <c r="BV30"/>
      <c r="BX30"/>
      <c r="BY30" s="13"/>
      <c r="BZ30" s="13"/>
      <c r="CA30" s="13"/>
      <c r="CB30" s="13"/>
      <c r="CC30" s="13"/>
    </row>
    <row r="31" spans="1:136" x14ac:dyDescent="0.2">
      <c r="R31" t="s">
        <v>121</v>
      </c>
      <c r="S31" s="10">
        <f>S29*$S$26</f>
        <v>9310757219.2167454</v>
      </c>
      <c r="T31" s="10">
        <f>T29*$S$26</f>
        <v>8795972315.1999264</v>
      </c>
      <c r="U31" s="10">
        <f>U29*$S$26</f>
        <v>9871607770.565527</v>
      </c>
      <c r="BR31"/>
      <c r="BS31"/>
      <c r="BT31"/>
      <c r="BU31"/>
      <c r="BV31"/>
      <c r="BX31"/>
      <c r="BY31" s="13"/>
      <c r="BZ31" s="13"/>
      <c r="CA31" s="13"/>
      <c r="CB31" s="13"/>
      <c r="CC31" s="13"/>
    </row>
    <row r="32" spans="1:136" x14ac:dyDescent="0.2">
      <c r="R32" t="s">
        <v>118</v>
      </c>
      <c r="S32">
        <v>3</v>
      </c>
      <c r="Y32" s="14">
        <f>Z23*$S27/$S33</f>
        <v>12128733556.033266</v>
      </c>
      <c r="BR32"/>
      <c r="BS32"/>
      <c r="BT32"/>
      <c r="BU32"/>
      <c r="BV32"/>
      <c r="BX32"/>
      <c r="BY32" s="13"/>
      <c r="BZ32" s="13"/>
      <c r="CA32" s="13"/>
      <c r="CB32" s="13"/>
      <c r="CC32" s="13"/>
    </row>
    <row r="33" spans="2:136" x14ac:dyDescent="0.2">
      <c r="R33" t="s">
        <v>119</v>
      </c>
      <c r="S33">
        <v>1.7330000000000002E-2</v>
      </c>
      <c r="Y33" s="14">
        <f>Z26*$S27/$S33</f>
        <v>43105773684.131577</v>
      </c>
      <c r="BR33"/>
      <c r="BS33"/>
      <c r="BT33"/>
      <c r="BU33"/>
      <c r="BV33"/>
      <c r="BX33"/>
      <c r="BY33" s="13"/>
      <c r="BZ33" s="13"/>
      <c r="CA33" s="13"/>
      <c r="CB33" s="13"/>
      <c r="CC33" s="13"/>
    </row>
    <row r="34" spans="2:136" x14ac:dyDescent="0.2">
      <c r="R34" t="s">
        <v>122</v>
      </c>
      <c r="S34" s="14">
        <f>S29/$S$33</f>
        <v>358174926.68654525</v>
      </c>
      <c r="T34" s="14">
        <f>T29/$S$33</f>
        <v>338371698.98826408</v>
      </c>
      <c r="U34" s="14">
        <f>U29/$S$33</f>
        <v>379750250.83922011</v>
      </c>
      <c r="BR34"/>
      <c r="BS34"/>
      <c r="BT34"/>
      <c r="BU34"/>
      <c r="BV34"/>
      <c r="BX34"/>
      <c r="BY34" s="13"/>
      <c r="BZ34" s="13"/>
      <c r="CA34" s="13"/>
      <c r="CB34" s="13"/>
      <c r="CC34" s="13"/>
    </row>
    <row r="35" spans="2:136" x14ac:dyDescent="0.2">
      <c r="R35" t="s">
        <v>120</v>
      </c>
      <c r="S35" s="14">
        <f>S34*$S$32</f>
        <v>1074524780.0596356</v>
      </c>
      <c r="T35" s="14">
        <f>T34*$S$32</f>
        <v>1015115096.9647923</v>
      </c>
      <c r="U35" s="14">
        <f>U34*$S$32</f>
        <v>1139250752.5176604</v>
      </c>
      <c r="BR35"/>
      <c r="BS35"/>
      <c r="BT35"/>
      <c r="BU35"/>
      <c r="BV35"/>
      <c r="BX35"/>
      <c r="BY35" s="13"/>
      <c r="BZ35" s="13"/>
      <c r="CA35" s="13"/>
      <c r="CB35" s="13"/>
      <c r="CC35" s="13"/>
    </row>
    <row r="36" spans="2:136" x14ac:dyDescent="0.2">
      <c r="R36" t="s">
        <v>124</v>
      </c>
      <c r="S36">
        <f>S32/S33</f>
        <v>173.11021350259665</v>
      </c>
      <c r="BR36"/>
      <c r="BS36"/>
      <c r="BT36"/>
      <c r="BU36"/>
      <c r="BV36"/>
      <c r="BX36"/>
      <c r="BY36" s="13"/>
      <c r="BZ36" s="13"/>
      <c r="CA36" s="13"/>
      <c r="CB36" s="13"/>
      <c r="CC36" s="13"/>
    </row>
    <row r="37" spans="2:136" x14ac:dyDescent="0.2">
      <c r="BS37"/>
    </row>
    <row r="38" spans="2:136" x14ac:dyDescent="0.2">
      <c r="BS38"/>
    </row>
    <row r="39" spans="2:136" x14ac:dyDescent="0.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row>
    <row r="40" spans="2:136" x14ac:dyDescent="0.2">
      <c r="BS40"/>
    </row>
    <row r="41" spans="2:136" x14ac:dyDescent="0.2">
      <c r="BS41"/>
    </row>
    <row r="42" spans="2:136" x14ac:dyDescent="0.2">
      <c r="BS42"/>
    </row>
    <row r="43" spans="2:136" x14ac:dyDescent="0.2">
      <c r="BS43"/>
    </row>
    <row r="44" spans="2:136" x14ac:dyDescent="0.2">
      <c r="BS44"/>
    </row>
    <row r="45" spans="2:136" x14ac:dyDescent="0.2">
      <c r="BS45"/>
    </row>
    <row r="46" spans="2:136" x14ac:dyDescent="0.2">
      <c r="BS46"/>
    </row>
    <row r="47" spans="2:136" x14ac:dyDescent="0.2">
      <c r="BS47"/>
    </row>
    <row r="48" spans="2:136" x14ac:dyDescent="0.2">
      <c r="BS48"/>
    </row>
    <row r="49" spans="71:71" x14ac:dyDescent="0.2">
      <c r="BS49"/>
    </row>
    <row r="50" spans="71:71" x14ac:dyDescent="0.2">
      <c r="BS50"/>
    </row>
    <row r="51" spans="71:71" x14ac:dyDescent="0.2">
      <c r="BS51"/>
    </row>
    <row r="52" spans="71:71" x14ac:dyDescent="0.2">
      <c r="BS52"/>
    </row>
    <row r="53" spans="71:71" x14ac:dyDescent="0.2">
      <c r="BS53"/>
    </row>
    <row r="54" spans="71:71" x14ac:dyDescent="0.2">
      <c r="BS54"/>
    </row>
    <row r="55" spans="71:71" x14ac:dyDescent="0.2">
      <c r="BS55"/>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D499-41D5-F240-94D0-4952F45BD787}">
  <dimension ref="A1:AB93"/>
  <sheetViews>
    <sheetView topLeftCell="A42" workbookViewId="0">
      <selection activeCell="I67" sqref="I67"/>
    </sheetView>
  </sheetViews>
  <sheetFormatPr baseColWidth="10" defaultRowHeight="16" x14ac:dyDescent="0.2"/>
  <cols>
    <col min="1" max="1" width="24.1640625" customWidth="1"/>
    <col min="2" max="2" width="14.1640625" customWidth="1"/>
    <col min="8" max="8" width="16.33203125" customWidth="1"/>
    <col min="23" max="23" width="13.1640625" customWidth="1"/>
  </cols>
  <sheetData>
    <row r="1" spans="1:19" x14ac:dyDescent="0.2">
      <c r="I1" t="s">
        <v>196</v>
      </c>
      <c r="J1" t="s">
        <v>225</v>
      </c>
    </row>
    <row r="2" spans="1:19" x14ac:dyDescent="0.2">
      <c r="A2" s="22" t="s">
        <v>194</v>
      </c>
      <c r="B2" t="str" cm="1">
        <f t="array" ref="B2:B21">'By site'!Y1:Y20</f>
        <v>Transition point</v>
      </c>
      <c r="C2" t="str" cm="1">
        <f t="array" ref="C2:C21">'By site'!X1:X20</f>
        <v>Min detected emission</v>
      </c>
      <c r="D2" t="str" cm="1">
        <f t="array" ref="D2:D21">'By site'!AD1:AD20</f>
        <v># production plumes</v>
      </c>
      <c r="E2" t="str" cm="1">
        <f t="array" ref="E2:E21">'By site'!AE1:AE20</f>
        <v># production plumes sel</v>
      </c>
      <c r="H2" s="22" t="s">
        <v>266</v>
      </c>
      <c r="I2" t="s">
        <v>195</v>
      </c>
      <c r="J2" t="s">
        <v>224</v>
      </c>
      <c r="K2" t="s">
        <v>226</v>
      </c>
      <c r="M2" s="22" t="s">
        <v>197</v>
      </c>
      <c r="N2" t="str" cm="1">
        <f t="array" ref="N2:N21">'By site'!CD1:CD20</f>
        <v>Well sites covered</v>
      </c>
      <c r="O2" t="str" cm="1">
        <f t="array" ref="O2:O21">'By site'!AD1:AD20</f>
        <v># production plumes</v>
      </c>
      <c r="P2" t="str" cm="1">
        <f t="array" ref="P2:P21">'By site'!AF1:AF20</f>
        <v># prod sources overall</v>
      </c>
      <c r="Q2" t="str" cm="1">
        <f t="array" ref="Q2:Q21">'By site'!AQ1:AQ20</f>
        <v>Avg visits/well site</v>
      </c>
      <c r="R2" t="str" cm="1">
        <f t="array" ref="R2:R21">'By site'!AG1:AG20</f>
        <v># avg prod sources sim</v>
      </c>
      <c r="S2" t="str" cm="1">
        <f t="array" ref="S2:S21">'By site'!CG1:CG20</f>
        <v>Avg % sites emitting</v>
      </c>
    </row>
    <row r="3" spans="1:19" x14ac:dyDescent="0.2">
      <c r="A3" t="s">
        <v>107</v>
      </c>
      <c r="B3" s="6">
        <v>24.347999999999999</v>
      </c>
      <c r="C3" s="6">
        <v>5.94645472151507</v>
      </c>
      <c r="D3" t="str">
        <v>NAN</v>
      </c>
      <c r="E3" s="4">
        <v>1276.962</v>
      </c>
      <c r="H3" t="s">
        <v>107</v>
      </c>
      <c r="I3" s="11">
        <f>1000*'By site'!K2/'By site'!CD2</f>
        <v>6.0588299196109263</v>
      </c>
      <c r="J3" s="11">
        <v>3.1883750000000002</v>
      </c>
      <c r="K3" s="9">
        <f>J3/I3</f>
        <v>0.5262360954678762</v>
      </c>
      <c r="M3" t="s">
        <v>107</v>
      </c>
      <c r="N3">
        <v>18030</v>
      </c>
      <c r="O3" t="str">
        <v>NAN</v>
      </c>
      <c r="P3">
        <v>627</v>
      </c>
      <c r="Q3" s="6">
        <v>3.76982806433722</v>
      </c>
      <c r="R3" s="6">
        <v>299.74799999999999</v>
      </c>
      <c r="S3" s="3">
        <v>1.6624958402662201E-2</v>
      </c>
    </row>
    <row r="4" spans="1:19" x14ac:dyDescent="0.2">
      <c r="A4" t="s">
        <v>90</v>
      </c>
      <c r="B4" s="6">
        <v>59.991999999999997</v>
      </c>
      <c r="C4" s="6">
        <v>15.0295249</v>
      </c>
      <c r="D4">
        <v>1749</v>
      </c>
      <c r="E4" s="4">
        <v>1644.3030000000001</v>
      </c>
      <c r="H4" t="s">
        <v>90</v>
      </c>
      <c r="I4" s="11">
        <f>1000*'By site'!K3/'By site'!CD3</f>
        <v>6.5982181379103952</v>
      </c>
      <c r="J4" s="11">
        <v>3.823909</v>
      </c>
      <c r="K4" s="9">
        <f t="shared" ref="K4:K17" si="0">J4/I4</f>
        <v>0.57953661429129444</v>
      </c>
      <c r="M4" t="s">
        <v>90</v>
      </c>
      <c r="N4">
        <v>46337</v>
      </c>
      <c r="O4">
        <v>1749</v>
      </c>
      <c r="P4">
        <v>1054</v>
      </c>
      <c r="Q4" s="6">
        <v>3.8655933703088201</v>
      </c>
      <c r="R4" s="6">
        <v>483.45</v>
      </c>
      <c r="S4" s="3">
        <v>1.0433347001316399E-2</v>
      </c>
    </row>
    <row r="5" spans="1:19" x14ac:dyDescent="0.2">
      <c r="A5" t="s">
        <v>91</v>
      </c>
      <c r="B5" s="6">
        <v>82.191999999999993</v>
      </c>
      <c r="C5" s="6">
        <v>8.0919112099999992</v>
      </c>
      <c r="D5">
        <v>284</v>
      </c>
      <c r="E5" s="4">
        <v>247.56</v>
      </c>
      <c r="H5" t="s">
        <v>91</v>
      </c>
      <c r="I5" s="11">
        <f>1000*'By site'!K4/'By site'!CD4</f>
        <v>6.1288099371130702</v>
      </c>
      <c r="J5" s="11">
        <v>5.3150170000000001</v>
      </c>
      <c r="K5" s="9">
        <f t="shared" si="0"/>
        <v>0.86721844118788238</v>
      </c>
      <c r="M5" t="s">
        <v>91</v>
      </c>
      <c r="N5">
        <v>9380</v>
      </c>
      <c r="O5">
        <v>284</v>
      </c>
      <c r="P5">
        <v>239</v>
      </c>
      <c r="Q5" s="6">
        <v>2.85575692963753</v>
      </c>
      <c r="R5" s="6">
        <v>101.175</v>
      </c>
      <c r="S5" s="3">
        <v>1.0786247334754801E-2</v>
      </c>
    </row>
    <row r="6" spans="1:19" x14ac:dyDescent="0.2">
      <c r="A6" t="s">
        <v>93</v>
      </c>
      <c r="B6" s="6">
        <v>68.158000000000001</v>
      </c>
      <c r="C6" s="6">
        <v>11.8134085</v>
      </c>
      <c r="D6">
        <v>416</v>
      </c>
      <c r="E6" s="4">
        <v>360.72300000000001</v>
      </c>
      <c r="H6" t="s">
        <v>93</v>
      </c>
      <c r="I6" s="11">
        <f>1000*'By site'!K5/'By site'!CD5</f>
        <v>6.2398532241299085</v>
      </c>
      <c r="J6" s="11">
        <v>7.7005670000000004</v>
      </c>
      <c r="K6" s="9">
        <f t="shared" si="0"/>
        <v>1.2340942524451406</v>
      </c>
      <c r="M6" t="s">
        <v>93</v>
      </c>
      <c r="N6">
        <v>10432</v>
      </c>
      <c r="O6">
        <v>416</v>
      </c>
      <c r="P6">
        <v>296</v>
      </c>
      <c r="Q6" s="6">
        <v>4.82716641104295</v>
      </c>
      <c r="R6" s="6">
        <v>124.72799999999999</v>
      </c>
      <c r="S6" s="3">
        <v>1.1956288343558301E-2</v>
      </c>
    </row>
    <row r="7" spans="1:19" x14ac:dyDescent="0.2">
      <c r="A7" t="s">
        <v>92</v>
      </c>
      <c r="B7" s="6">
        <v>78.552999999999997</v>
      </c>
      <c r="C7" s="6">
        <v>23.348039</v>
      </c>
      <c r="D7">
        <v>334</v>
      </c>
      <c r="E7" s="4">
        <v>274.45299999999997</v>
      </c>
      <c r="H7" t="s">
        <v>92</v>
      </c>
      <c r="I7" s="11">
        <f>1000*'By site'!K6/'By site'!CD6</f>
        <v>6.0875534734731378</v>
      </c>
      <c r="J7" s="11">
        <v>7.4984510000000002</v>
      </c>
      <c r="K7" s="9">
        <f t="shared" si="0"/>
        <v>1.2317675783342075</v>
      </c>
      <c r="M7" t="s">
        <v>92</v>
      </c>
      <c r="N7">
        <v>10777</v>
      </c>
      <c r="O7">
        <v>334</v>
      </c>
      <c r="P7">
        <v>232</v>
      </c>
      <c r="Q7" s="6">
        <v>4.7946552844019701</v>
      </c>
      <c r="R7" s="6">
        <v>92.757999999999996</v>
      </c>
      <c r="S7" s="3">
        <v>8.6070334972626894E-3</v>
      </c>
    </row>
    <row r="8" spans="1:19" x14ac:dyDescent="0.2">
      <c r="A8" t="s">
        <v>94</v>
      </c>
      <c r="B8" s="6">
        <v>40.093000000000004</v>
      </c>
      <c r="C8" s="6">
        <v>9</v>
      </c>
      <c r="D8">
        <v>77</v>
      </c>
      <c r="E8" s="4">
        <v>69.082999999999998</v>
      </c>
      <c r="H8" t="s">
        <v>94</v>
      </c>
      <c r="I8" s="11">
        <f>1000*'By site'!K7/'By site'!CD7</f>
        <v>0.20833233999177886</v>
      </c>
      <c r="J8" s="11">
        <v>0.52104099999999998</v>
      </c>
      <c r="K8" s="9">
        <f t="shared" si="0"/>
        <v>2.501008724908294</v>
      </c>
      <c r="M8" t="s">
        <v>94</v>
      </c>
      <c r="N8">
        <v>23779</v>
      </c>
      <c r="O8">
        <v>77</v>
      </c>
      <c r="P8">
        <v>40</v>
      </c>
      <c r="Q8" s="6">
        <v>1.9552546364439201</v>
      </c>
      <c r="R8" s="6">
        <v>15.06</v>
      </c>
      <c r="S8" s="3">
        <v>6.3333193153622901E-4</v>
      </c>
    </row>
    <row r="9" spans="1:19" x14ac:dyDescent="0.2">
      <c r="A9" t="s">
        <v>95</v>
      </c>
      <c r="B9" s="6">
        <v>41.570999999999998</v>
      </c>
      <c r="C9" s="6">
        <v>11</v>
      </c>
      <c r="D9">
        <v>86</v>
      </c>
      <c r="E9" s="4">
        <v>80.167000000000002</v>
      </c>
      <c r="H9" t="s">
        <v>95</v>
      </c>
      <c r="I9" s="11">
        <f>1000*'By site'!K8/'By site'!CD8</f>
        <v>0.30986694438219753</v>
      </c>
      <c r="J9" s="11">
        <v>0.53992899999999999</v>
      </c>
      <c r="K9" s="9">
        <f t="shared" si="0"/>
        <v>1.7424543333477942</v>
      </c>
      <c r="M9" t="s">
        <v>95</v>
      </c>
      <c r="N9">
        <v>23103</v>
      </c>
      <c r="O9">
        <v>86</v>
      </c>
      <c r="P9">
        <v>54</v>
      </c>
      <c r="Q9" s="6">
        <v>4.7679522139981803</v>
      </c>
      <c r="R9" s="6">
        <v>15.926</v>
      </c>
      <c r="S9" s="3">
        <v>6.8934770376141599E-4</v>
      </c>
    </row>
    <row r="10" spans="1:19" x14ac:dyDescent="0.2">
      <c r="A10" t="s">
        <v>97</v>
      </c>
      <c r="B10" s="6">
        <v>36.04</v>
      </c>
      <c r="C10" s="6">
        <v>23.632191899999999</v>
      </c>
      <c r="D10">
        <v>94</v>
      </c>
      <c r="E10" s="4">
        <v>90.480999999999995</v>
      </c>
      <c r="H10" t="s">
        <v>97</v>
      </c>
      <c r="I10" s="11">
        <f>1000*'By site'!K9/'By site'!CD9</f>
        <v>0.35342320562271823</v>
      </c>
      <c r="J10" s="11">
        <v>0.54591699999999999</v>
      </c>
      <c r="K10" s="9">
        <f t="shared" si="0"/>
        <v>1.5446552216007294</v>
      </c>
      <c r="M10" t="s">
        <v>97</v>
      </c>
      <c r="N10">
        <v>15992</v>
      </c>
      <c r="O10">
        <v>94</v>
      </c>
      <c r="P10">
        <v>39</v>
      </c>
      <c r="Q10" s="6">
        <v>7.4688594297148603</v>
      </c>
      <c r="R10" s="6">
        <v>13.316000000000001</v>
      </c>
      <c r="S10" s="3">
        <v>8.32666333166583E-4</v>
      </c>
    </row>
    <row r="11" spans="1:19" x14ac:dyDescent="0.2">
      <c r="A11" t="s">
        <v>96</v>
      </c>
      <c r="B11" s="6">
        <v>39.524999999999999</v>
      </c>
      <c r="C11" s="6">
        <v>20.646401600000001</v>
      </c>
      <c r="D11">
        <v>48</v>
      </c>
      <c r="E11" s="4">
        <v>45.290999999999997</v>
      </c>
      <c r="H11" t="s">
        <v>96</v>
      </c>
      <c r="I11" s="11">
        <f>1000*'By site'!K10/'By site'!CD10</f>
        <v>0.27004587788385787</v>
      </c>
      <c r="J11" s="11">
        <v>0.52352500000000002</v>
      </c>
      <c r="K11" s="9">
        <f t="shared" si="0"/>
        <v>1.9386520694278444</v>
      </c>
      <c r="M11" t="s">
        <v>96</v>
      </c>
      <c r="N11">
        <v>16579</v>
      </c>
      <c r="O11">
        <v>48</v>
      </c>
      <c r="P11">
        <v>27</v>
      </c>
      <c r="Q11" s="6">
        <v>7.2219675493093698</v>
      </c>
      <c r="R11" s="6">
        <v>8.0830000000000002</v>
      </c>
      <c r="S11" s="3">
        <v>4.8754448398576501E-4</v>
      </c>
    </row>
    <row r="12" spans="1:19" x14ac:dyDescent="0.2">
      <c r="A12" t="s">
        <v>98</v>
      </c>
      <c r="B12" s="6">
        <v>22.966999999999999</v>
      </c>
      <c r="C12" s="6">
        <v>15.958829700000001</v>
      </c>
      <c r="D12">
        <v>47</v>
      </c>
      <c r="E12" s="4">
        <v>41.277999999999999</v>
      </c>
      <c r="H12" t="s">
        <v>98</v>
      </c>
      <c r="I12" s="11">
        <f>1000*'By site'!K11/'By site'!CD11</f>
        <v>0.20735863473421787</v>
      </c>
      <c r="J12" s="11">
        <v>0.50917599999999996</v>
      </c>
      <c r="K12" s="9">
        <f t="shared" si="0"/>
        <v>2.4555331426281661</v>
      </c>
      <c r="M12" t="s">
        <v>98</v>
      </c>
      <c r="N12">
        <v>16743</v>
      </c>
      <c r="O12">
        <v>47</v>
      </c>
      <c r="P12">
        <v>35</v>
      </c>
      <c r="Q12" s="6">
        <v>3.5712237950188102</v>
      </c>
      <c r="R12" s="6">
        <v>15.731999999999999</v>
      </c>
      <c r="S12" s="3">
        <v>9.3961655617272896E-4</v>
      </c>
    </row>
    <row r="13" spans="1:19" x14ac:dyDescent="0.2">
      <c r="A13" t="s">
        <v>99</v>
      </c>
      <c r="B13" s="6">
        <v>75.256</v>
      </c>
      <c r="C13" s="6">
        <v>11.1023447</v>
      </c>
      <c r="D13">
        <v>34</v>
      </c>
      <c r="E13" s="4">
        <v>27.18</v>
      </c>
      <c r="H13" t="s">
        <v>99</v>
      </c>
      <c r="I13" s="11">
        <f>1000*'By site'!K12/'By site'!CD12</f>
        <v>1.9990690095363384</v>
      </c>
      <c r="J13" s="11">
        <v>4.579421</v>
      </c>
      <c r="K13" s="9">
        <f t="shared" si="0"/>
        <v>2.2907768456988613</v>
      </c>
      <c r="M13" t="s">
        <v>99</v>
      </c>
      <c r="N13">
        <v>7254</v>
      </c>
      <c r="O13">
        <v>34</v>
      </c>
      <c r="P13">
        <v>27</v>
      </c>
      <c r="Q13" s="6">
        <v>5.0860215053763396</v>
      </c>
      <c r="R13" s="6">
        <v>8.4719999999999995</v>
      </c>
      <c r="S13" s="3">
        <v>1.16790736145575E-3</v>
      </c>
    </row>
    <row r="14" spans="1:19" x14ac:dyDescent="0.2">
      <c r="A14" t="s">
        <v>100</v>
      </c>
      <c r="B14" s="6">
        <v>66.296000000000006</v>
      </c>
      <c r="C14" s="6">
        <v>10.160212599999999</v>
      </c>
      <c r="D14">
        <v>40</v>
      </c>
      <c r="E14" s="4">
        <v>31.573</v>
      </c>
      <c r="H14" t="s">
        <v>100</v>
      </c>
      <c r="I14" s="11">
        <f>1000*'By site'!K13/'By site'!CD13</f>
        <v>2.0122372650615969</v>
      </c>
      <c r="J14" s="11">
        <v>4.605823</v>
      </c>
      <c r="K14" s="9">
        <f t="shared" si="0"/>
        <v>2.2889065220939591</v>
      </c>
      <c r="M14" t="s">
        <v>100</v>
      </c>
      <c r="N14">
        <v>7265</v>
      </c>
      <c r="O14">
        <v>40</v>
      </c>
      <c r="P14">
        <v>33</v>
      </c>
      <c r="Q14" s="6">
        <v>5.8016517549896802</v>
      </c>
      <c r="R14" s="6">
        <v>8.4760000000000009</v>
      </c>
      <c r="S14" s="3">
        <v>1.16668960770819E-3</v>
      </c>
    </row>
    <row r="15" spans="1:19" x14ac:dyDescent="0.2">
      <c r="A15" t="s">
        <v>101</v>
      </c>
      <c r="B15" s="6">
        <v>117.51900000000001</v>
      </c>
      <c r="C15" s="6">
        <v>92.241416200000003</v>
      </c>
      <c r="D15">
        <v>64</v>
      </c>
      <c r="E15" s="4">
        <v>62</v>
      </c>
      <c r="H15" t="s">
        <v>101</v>
      </c>
      <c r="I15" s="11">
        <f>1000*'By site'!K14/'By site'!CD14</f>
        <v>3.9395426442893449</v>
      </c>
      <c r="J15" s="11">
        <v>1.678679</v>
      </c>
      <c r="K15" s="9">
        <f t="shared" si="0"/>
        <v>0.42611012281676097</v>
      </c>
      <c r="M15" t="s">
        <v>101</v>
      </c>
      <c r="N15">
        <v>12801</v>
      </c>
      <c r="O15">
        <v>64</v>
      </c>
      <c r="P15">
        <v>43</v>
      </c>
      <c r="Q15" s="6">
        <v>1.72603702835716</v>
      </c>
      <c r="R15" s="6">
        <v>29.518000000000001</v>
      </c>
      <c r="S15" s="3">
        <v>2.3059136004999598E-3</v>
      </c>
    </row>
    <row r="16" spans="1:19" x14ac:dyDescent="0.2">
      <c r="A16" t="s">
        <v>89</v>
      </c>
      <c r="B16" s="6">
        <v>52.054000000000002</v>
      </c>
      <c r="C16" s="6">
        <v>8.3545392399999994</v>
      </c>
      <c r="D16">
        <v>56</v>
      </c>
      <c r="E16" s="4">
        <v>41.451000000000001</v>
      </c>
      <c r="H16" t="s">
        <v>89</v>
      </c>
      <c r="I16" s="11">
        <f>1000*'By site'!K15/'By site'!CD15</f>
        <v>3.059612472588233</v>
      </c>
      <c r="J16" s="11">
        <v>3.5916640000000002</v>
      </c>
      <c r="K16" s="9">
        <f t="shared" si="0"/>
        <v>1.1738950707576656</v>
      </c>
      <c r="M16" t="s">
        <v>89</v>
      </c>
      <c r="N16">
        <v>5371</v>
      </c>
      <c r="O16">
        <v>56</v>
      </c>
      <c r="P16">
        <v>42</v>
      </c>
      <c r="Q16" s="6">
        <v>3.5211320052131798</v>
      </c>
      <c r="R16" s="6">
        <v>24.919</v>
      </c>
      <c r="S16" s="3">
        <v>4.6395457084341804E-3</v>
      </c>
    </row>
    <row r="17" spans="1:23" x14ac:dyDescent="0.2">
      <c r="A17" t="s">
        <v>102</v>
      </c>
      <c r="B17" s="6">
        <v>45.424999999999997</v>
      </c>
      <c r="C17" s="6">
        <v>6.5248198687447001</v>
      </c>
      <c r="D17">
        <v>80</v>
      </c>
      <c r="E17" s="4">
        <v>79.98</v>
      </c>
      <c r="H17" t="s">
        <v>102</v>
      </c>
      <c r="I17" s="11">
        <f>1000*'By site'!K16/'By site'!CD16</f>
        <v>3.4173485273532997</v>
      </c>
      <c r="J17" s="11">
        <v>1.6910879999999999</v>
      </c>
      <c r="K17" s="9">
        <f t="shared" si="0"/>
        <v>0.49485382789145294</v>
      </c>
      <c r="M17" t="s">
        <v>102</v>
      </c>
      <c r="N17">
        <v>4606</v>
      </c>
      <c r="O17">
        <v>80</v>
      </c>
      <c r="P17">
        <v>49</v>
      </c>
      <c r="Q17" s="6">
        <v>1.7370820668692999</v>
      </c>
      <c r="R17" s="6">
        <v>40.021999999999998</v>
      </c>
      <c r="S17" s="3">
        <v>8.6891011723838497E-3</v>
      </c>
    </row>
    <row r="18" spans="1:23" x14ac:dyDescent="0.2">
      <c r="A18" t="s">
        <v>103</v>
      </c>
      <c r="B18" s="6">
        <v>57.851999999999997</v>
      </c>
      <c r="C18" s="6">
        <v>16.353133799999998</v>
      </c>
      <c r="D18">
        <v>1052</v>
      </c>
      <c r="E18" s="4">
        <v>998.61300000000006</v>
      </c>
      <c r="H18" t="s">
        <v>103</v>
      </c>
      <c r="I18">
        <f>1000*'By site'!K17/'By site'!CD17</f>
        <v>13.44341221864228</v>
      </c>
      <c r="M18" t="s">
        <v>103</v>
      </c>
      <c r="N18">
        <v>9404</v>
      </c>
      <c r="O18">
        <v>1052</v>
      </c>
      <c r="P18">
        <v>540</v>
      </c>
      <c r="Q18" s="6">
        <v>8.8941939600170201</v>
      </c>
      <c r="R18" s="6">
        <v>166.809</v>
      </c>
      <c r="S18" s="3">
        <v>1.77380901743939E-2</v>
      </c>
    </row>
    <row r="19" spans="1:23" x14ac:dyDescent="0.2">
      <c r="A19" t="s">
        <v>104</v>
      </c>
      <c r="B19" s="6">
        <v>53.271000000000001</v>
      </c>
      <c r="C19" s="6">
        <v>16.353133799999998</v>
      </c>
      <c r="D19">
        <v>922</v>
      </c>
      <c r="E19" s="4">
        <v>875.71</v>
      </c>
      <c r="H19" t="s">
        <v>104</v>
      </c>
      <c r="I19">
        <f>1000*'By site'!K18/'By site'!CD18</f>
        <v>16.414502804458788</v>
      </c>
      <c r="M19" t="s">
        <v>104</v>
      </c>
      <c r="N19">
        <v>4358</v>
      </c>
      <c r="O19">
        <v>922</v>
      </c>
      <c r="P19">
        <v>447</v>
      </c>
      <c r="Q19" s="6">
        <v>12.681964203763201</v>
      </c>
      <c r="R19" s="6">
        <v>117.767</v>
      </c>
      <c r="S19" s="3">
        <v>2.70231757687012E-2</v>
      </c>
    </row>
    <row r="20" spans="1:23" x14ac:dyDescent="0.2">
      <c r="A20" t="s">
        <v>105</v>
      </c>
      <c r="B20" s="6">
        <v>112.03</v>
      </c>
      <c r="C20" s="6">
        <v>16.353133799999998</v>
      </c>
      <c r="D20">
        <v>130</v>
      </c>
      <c r="E20" s="4">
        <v>124.215</v>
      </c>
      <c r="H20" t="s">
        <v>105</v>
      </c>
      <c r="I20">
        <f>1000*'By site'!K19/'By site'!CD19</f>
        <v>10.953627923616034</v>
      </c>
      <c r="M20" t="s">
        <v>105</v>
      </c>
      <c r="N20">
        <v>5045</v>
      </c>
      <c r="O20">
        <v>130</v>
      </c>
      <c r="P20">
        <v>93</v>
      </c>
      <c r="Q20" s="6">
        <v>5.6239841427155604</v>
      </c>
      <c r="R20" s="6">
        <v>49.093000000000004</v>
      </c>
      <c r="S20" s="3">
        <v>9.73102081268583E-3</v>
      </c>
    </row>
    <row r="21" spans="1:23" x14ac:dyDescent="0.2">
      <c r="A21" t="s">
        <v>129</v>
      </c>
      <c r="B21" s="6">
        <v>495.44525599999997</v>
      </c>
      <c r="C21" s="6">
        <v>495.44525599999997</v>
      </c>
      <c r="D21">
        <v>12</v>
      </c>
      <c r="E21" s="4">
        <v>11</v>
      </c>
      <c r="H21" t="s">
        <v>129</v>
      </c>
      <c r="I21">
        <f>1000*'By site'!K20/'By site'!CD20</f>
        <v>8.6254179542157079</v>
      </c>
      <c r="M21" t="s">
        <v>129</v>
      </c>
      <c r="N21">
        <v>2381</v>
      </c>
      <c r="O21">
        <v>12</v>
      </c>
      <c r="P21">
        <v>12</v>
      </c>
      <c r="Q21" s="6">
        <v>1.3481730365392699</v>
      </c>
      <c r="R21" s="6">
        <v>11.48</v>
      </c>
      <c r="S21" s="3">
        <v>4.8215035699286004E-3</v>
      </c>
    </row>
    <row r="23" spans="1:23" x14ac:dyDescent="0.2">
      <c r="A23" s="22" t="s">
        <v>198</v>
      </c>
      <c r="B23" t="s">
        <v>199</v>
      </c>
      <c r="C23" t="str" cm="1">
        <f t="array" ref="C23:C42">'By site'!Z1:Z20</f>
        <v>Total covered production (t(CH4)/hr)</v>
      </c>
      <c r="D23" t="s">
        <v>200</v>
      </c>
      <c r="G23" s="22" t="s">
        <v>203</v>
      </c>
      <c r="H23" t="s">
        <v>204</v>
      </c>
      <c r="I23" t="s">
        <v>205</v>
      </c>
      <c r="J23" t="s">
        <v>206</v>
      </c>
      <c r="K23" t="s">
        <v>207</v>
      </c>
      <c r="N23" s="22" t="s">
        <v>208</v>
      </c>
      <c r="O23" t="s">
        <v>209</v>
      </c>
      <c r="P23" t="s">
        <v>210</v>
      </c>
      <c r="Q23" t="s">
        <v>211</v>
      </c>
      <c r="R23" t="s">
        <v>212</v>
      </c>
      <c r="T23" s="22" t="s">
        <v>213</v>
      </c>
      <c r="U23" t="s">
        <v>214</v>
      </c>
      <c r="V23" t="s">
        <v>215</v>
      </c>
      <c r="W23" t="s">
        <v>216</v>
      </c>
    </row>
    <row r="24" spans="1:23" x14ac:dyDescent="0.2">
      <c r="A24" t="s">
        <v>107</v>
      </c>
      <c r="B24" t="str">
        <f>ROUND('By site'!S2, 0) &amp; " ["  &amp; ROUND('By site'!T2, 0) &amp; ", " &amp; ROUND('By site'!U2, 0) &amp; "]"</f>
        <v>188 [177, 202]</v>
      </c>
      <c r="C24" s="4">
        <v>1952.04513368984</v>
      </c>
      <c r="D24" t="str">
        <f>ROUND('By site'!BJ2*100, 2) &amp; " ["  &amp; ROUND('By site'!BM2*100, 2) &amp; ", " &amp; ROUND('By site'!BN2*100, 2) &amp; "]"</f>
        <v>9.63 [9.06, 10.33]</v>
      </c>
      <c r="G24" t="s">
        <v>107</v>
      </c>
      <c r="H24" t="str">
        <f>ROUND('By site'!AX2*100, 2) &amp; CHAR(10) &amp; "["  &amp; ROUND('By site'!AY2*100, 2) &amp; ", " &amp; ROUND('By site'!AZ2*100, 2) &amp; "]"</f>
        <v>0.92
[0.88, 0.96]</v>
      </c>
      <c r="I24" t="str">
        <f>ROUND('By site'!BA2*100, 2) &amp; CHAR(10) &amp; "["  &amp; ROUND('By site'!BB2*100, 2) &amp; ", " &amp; ROUND('By site'!BC2*100, 2) &amp; "]"</f>
        <v>4.43
[3.85, 5.09]</v>
      </c>
      <c r="J24" t="str">
        <f>ROUND('By site'!BD2*100, 2) &amp; CHAR(10) &amp; "["  &amp; ROUND('By site'!BE2*100, 2) &amp; ", " &amp; ROUND('By site'!BF2*100, 2) &amp; "]"</f>
        <v>0.24
[0.17, 0.32]</v>
      </c>
      <c r="K24" t="str">
        <f>ROUND('By site'!BG2*100, 2) &amp; CHAR(10) &amp; "["  &amp; ROUND('By site'!BH2*100, 2) &amp; ", " &amp; ROUND('By site'!BI2*100, 2) &amp; "]"</f>
        <v>5.6
[5.29, 5.93]</v>
      </c>
      <c r="N24" t="s">
        <v>107</v>
      </c>
      <c r="O24" t="str">
        <f>ROUND('By site'!BU2*100, 2) &amp; CHAR(10) &amp; "["  &amp; ROUND('By site'!BV2*100, 2) &amp; ", " &amp; ROUND('By site'!BW2*100, 2) &amp; "]"</f>
        <v>0.38
[0.31, 0.45]</v>
      </c>
      <c r="P24" t="str">
        <f>ROUND('By site'!BO2*100, 2) &amp; CHAR(10) &amp; "["  &amp; ROUND('By site'!BP2*100, 2) &amp; ", " &amp; ROUND('By site'!BQ2*100, 2) &amp; "]"</f>
        <v>3.4
[3, 4]</v>
      </c>
      <c r="Q24" t="str">
        <f>ROUND('By site'!BR2*100, 2) &amp; CHAR(10) &amp; "["  &amp; ROUND('By site'!BS2*100, 2) &amp; ", " &amp; ROUND('By site'!BT2*100, 2) &amp; "]"</f>
        <v>0.25
[0.22, 0.29]</v>
      </c>
      <c r="R24" t="str">
        <f>ROUND('By site'!BX2*100, 2) &amp; CHAR(10) &amp; "["  &amp; ROUND('By site'!BY2*100, 2) &amp; ", " &amp; ROUND('By site'!BZ2*100, 2) &amp; "]"</f>
        <v>4.04
[3.57, 4.7]</v>
      </c>
      <c r="T24" t="s">
        <v>107</v>
      </c>
      <c r="U24" s="3" cm="1">
        <f t="array" ref="U24:U42">'By site'!BG2:BG20/'By site'!DL2:DL20</f>
        <v>1.2012020541721255E-2</v>
      </c>
      <c r="V24" s="3" cm="1">
        <f t="array" ref="V24:V42">'By site'!DX2:DX20</f>
        <v>7.2701047721023199E-3</v>
      </c>
      <c r="W24" s="18">
        <f>(U24-V24)/V24</f>
        <v>0.65224861515272214</v>
      </c>
    </row>
    <row r="25" spans="1:23" x14ac:dyDescent="0.2">
      <c r="A25" t="s">
        <v>90</v>
      </c>
      <c r="B25" t="str">
        <f>ROUND('By site'!S3, 0) &amp; " ["  &amp; ROUND('By site'!T3, 0) &amp; ", " &amp; ROUND('By site'!U3, 0) &amp; "]"</f>
        <v>556 [534, 580]</v>
      </c>
      <c r="C25" s="4">
        <v>10526.8147291444</v>
      </c>
      <c r="D25" t="str">
        <f>ROUND('By site'!BJ3*100, 2) &amp; " ["  &amp; ROUND('By site'!BM3*100, 2) &amp; ", " &amp; ROUND('By site'!BN3*100, 2) &amp; "]"</f>
        <v>5.29 [5.08, 5.51]</v>
      </c>
      <c r="G25" t="s">
        <v>90</v>
      </c>
      <c r="H25" t="str">
        <f>ROUND('By site'!AX3*100, 2) &amp; CHAR(10) &amp; "["  &amp; ROUND('By site'!AY3*100, 2) &amp; ", " &amp; ROUND('By site'!AZ3*100, 2) &amp; "]"</f>
        <v>0.66
[0.64, 0.69]</v>
      </c>
      <c r="I25" t="str">
        <f>ROUND('By site'!BA3*100, 2) &amp; CHAR(10) &amp; "["  &amp; ROUND('By site'!BB3*100, 2) &amp; ", " &amp; ROUND('By site'!BC3*100, 2) &amp; "]"</f>
        <v>2.24
[2.07, 2.43]</v>
      </c>
      <c r="J25" t="str">
        <f>ROUND('By site'!BD3*100, 2) &amp; CHAR(10) &amp; "["  &amp; ROUND('By site'!BE3*100, 2) &amp; ", " &amp; ROUND('By site'!BF3*100, 2) &amp; "]"</f>
        <v>0
[0, 0]</v>
      </c>
      <c r="K25" t="str">
        <f>ROUND('By site'!BG3*100, 2) &amp; CHAR(10) &amp; "["  &amp; ROUND('By site'!BH3*100, 2) &amp; ", " &amp; ROUND('By site'!BI3*100, 2) &amp; "]"</f>
        <v>2.9
[2.81, 3]</v>
      </c>
      <c r="N25" t="s">
        <v>90</v>
      </c>
      <c r="O25" t="str">
        <f>ROUND('By site'!BU3*100, 2) &amp; CHAR(10) &amp; "["  &amp; ROUND('By site'!BV3*100, 2) &amp; ", " &amp; ROUND('By site'!BW3*100, 2) &amp; "]"</f>
        <v>0.36
[0.3, 0.43]</v>
      </c>
      <c r="P25" t="str">
        <f>ROUND('By site'!BO3*100, 2) &amp; CHAR(10) &amp; "["  &amp; ROUND('By site'!BP3*100, 2) &amp; ", " &amp; ROUND('By site'!BQ3*100, 2) &amp; "]"</f>
        <v>2.02
[1.9, 2.15]</v>
      </c>
      <c r="Q25" t="str">
        <f>ROUND('By site'!BR3*100, 2) &amp; CHAR(10) &amp; "["  &amp; ROUND('By site'!BS3*100, 2) &amp; ", " &amp; ROUND('By site'!BT3*100, 2) &amp; "]"</f>
        <v>0
[0, 0]</v>
      </c>
      <c r="R25" t="str">
        <f>ROUND('By site'!BX3*100, 2) &amp; CHAR(10) &amp; "["  &amp; ROUND('By site'!BY3*100, 2) &amp; ", " &amp; ROUND('By site'!BZ3*100, 2) &amp; "]"</f>
        <v>2.38
[2.19, 2.58]</v>
      </c>
      <c r="T25" t="s">
        <v>90</v>
      </c>
      <c r="U25" s="3">
        <v>7.9570694711087915E-3</v>
      </c>
      <c r="V25" s="3">
        <v>6.5124999847487302E-3</v>
      </c>
      <c r="W25" s="18">
        <f t="shared" ref="W25:W42" si="1">(U25-V25)/V25</f>
        <v>0.22181489285881306</v>
      </c>
    </row>
    <row r="26" spans="1:23" x14ac:dyDescent="0.2">
      <c r="A26" t="s">
        <v>91</v>
      </c>
      <c r="B26" t="str">
        <f>ROUND('By site'!S4, 0) &amp; " ["  &amp; ROUND('By site'!T4, 0) &amp; ", " &amp; ROUND('By site'!U4, 0) &amp; "]"</f>
        <v>134 [124, 145]</v>
      </c>
      <c r="C26" s="4">
        <v>4766.5263912834198</v>
      </c>
      <c r="D26" t="str">
        <f>ROUND('By site'!BJ4*100, 2) &amp; " ["  &amp; ROUND('By site'!BM4*100, 2) &amp; ", " &amp; ROUND('By site'!BN4*100, 2) &amp; "]"</f>
        <v>2.81 [2.6, 3.05]</v>
      </c>
      <c r="G26" t="s">
        <v>91</v>
      </c>
      <c r="H26" t="str">
        <f>ROUND('By site'!AX4*100, 2) &amp; CHAR(10) &amp; "["  &amp; ROUND('By site'!AY4*100, 2) &amp; ", " &amp; ROUND('By site'!AZ4*100, 2) &amp; "]"</f>
        <v>0.47
[0.44, 0.5]</v>
      </c>
      <c r="I26" t="str">
        <f>ROUND('By site'!BA4*100, 2) &amp; CHAR(10) &amp; "["  &amp; ROUND('By site'!BB4*100, 2) &amp; ", " &amp; ROUND('By site'!BC4*100, 2) &amp; "]"</f>
        <v>0.74
[0.62, 0.86]</v>
      </c>
      <c r="J26" t="str">
        <f>ROUND('By site'!BD4*100, 2) &amp; CHAR(10) &amp; "["  &amp; ROUND('By site'!BE4*100, 2) &amp; ", " &amp; ROUND('By site'!BF4*100, 2) &amp; "]"</f>
        <v>0
[0, 0]</v>
      </c>
      <c r="K26" t="str">
        <f>ROUND('By site'!BG4*100, 2) &amp; CHAR(10) &amp; "["  &amp; ROUND('By site'!BH4*100, 2) &amp; ", " &amp; ROUND('By site'!BI4*100, 2) &amp; "]"</f>
        <v>1.21
[1.13, 1.28]</v>
      </c>
      <c r="N26" t="s">
        <v>91</v>
      </c>
      <c r="O26" t="str">
        <f>ROUND('By site'!BU4*100, 2) &amp; CHAR(10) &amp; "["  &amp; ROUND('By site'!BV4*100, 2) &amp; ", " &amp; ROUND('By site'!BW4*100, 2) &amp; "]"</f>
        <v>0.34
[0.28, 0.41]</v>
      </c>
      <c r="P26" t="str">
        <f>ROUND('By site'!BO4*100, 2) &amp; CHAR(10) &amp; "["  &amp; ROUND('By site'!BP4*100, 2) &amp; ", " &amp; ROUND('By site'!BQ4*100, 2) &amp; "]"</f>
        <v>1.26
[1.13, 1.42]</v>
      </c>
      <c r="Q26" t="str">
        <f>ROUND('By site'!BR4*100, 2) &amp; CHAR(10) &amp; "["  &amp; ROUND('By site'!BS4*100, 2) &amp; ", " &amp; ROUND('By site'!BT4*100, 2) &amp; "]"</f>
        <v>0
[0, 0]</v>
      </c>
      <c r="R26" t="str">
        <f>ROUND('By site'!BX4*100, 2) &amp; CHAR(10) &amp; "["  &amp; ROUND('By site'!BY4*100, 2) &amp; ", " &amp; ROUND('By site'!BZ4*100, 2) &amp; "]"</f>
        <v>1.61
[1.41, 1.83]</v>
      </c>
      <c r="T26" t="s">
        <v>91</v>
      </c>
      <c r="U26" s="3">
        <v>5.6767791104562065E-3</v>
      </c>
      <c r="V26" s="3">
        <v>5.9587925946185498E-3</v>
      </c>
      <c r="W26" s="18">
        <f t="shared" si="1"/>
        <v>-4.7327286473610897E-2</v>
      </c>
    </row>
    <row r="27" spans="1:23" x14ac:dyDescent="0.2">
      <c r="A27" t="s">
        <v>93</v>
      </c>
      <c r="B27" t="str">
        <f>ROUND('By site'!S5, 0) &amp; " ["  &amp; ROUND('By site'!T5, 0) &amp; ", " &amp; ROUND('By site'!U5, 0) &amp; "]"</f>
        <v>131 [122, 140]</v>
      </c>
      <c r="C27" s="4">
        <v>5950.4296949999998</v>
      </c>
      <c r="D27" t="str">
        <f>ROUND('By site'!BJ5*100, 2) &amp; " ["  &amp; ROUND('By site'!BM5*100, 2) &amp; ", " &amp; ROUND('By site'!BN5*100, 2) &amp; "]"</f>
        <v>2.2 [2.05, 2.35]</v>
      </c>
      <c r="G27" t="s">
        <v>93</v>
      </c>
      <c r="H27" t="str">
        <f>ROUND('By site'!AX5*100, 2) &amp; CHAR(10) &amp; "["  &amp; ROUND('By site'!AY5*100, 2) &amp; ", " &amp; ROUND('By site'!AZ5*100, 2) &amp; "]"</f>
        <v>0.47
[0.44, 0.5]</v>
      </c>
      <c r="I27" t="str">
        <f>ROUND('By site'!BA5*100, 2) &amp; CHAR(10) &amp; "["  &amp; ROUND('By site'!BB5*100, 2) &amp; ", " &amp; ROUND('By site'!BC5*100, 2) &amp; "]"</f>
        <v>0.62
[0.51, 0.76]</v>
      </c>
      <c r="J27" t="str">
        <f>ROUND('By site'!BD5*100, 2) &amp; CHAR(10) &amp; "["  &amp; ROUND('By site'!BE5*100, 2) &amp; ", " &amp; ROUND('By site'!BF5*100, 2) &amp; "]"</f>
        <v>0
[0, 0]</v>
      </c>
      <c r="K27" t="str">
        <f>ROUND('By site'!BG5*100, 2) &amp; CHAR(10) &amp; "["  &amp; ROUND('By site'!BH5*100, 2) &amp; ", " &amp; ROUND('By site'!BI5*100, 2) &amp; "]"</f>
        <v>1.09
[1.04, 1.16]</v>
      </c>
      <c r="N27" t="s">
        <v>93</v>
      </c>
      <c r="O27" t="str">
        <f>ROUND('By site'!BU5*100, 2) &amp; CHAR(10) &amp; "["  &amp; ROUND('By site'!BV5*100, 2) &amp; ", " &amp; ROUND('By site'!BW5*100, 2) &amp; "]"</f>
        <v>0.34
[0.28, 0.41]</v>
      </c>
      <c r="P27" t="str">
        <f>ROUND('By site'!BO5*100, 2) &amp; CHAR(10) &amp; "["  &amp; ROUND('By site'!BP5*100, 2) &amp; ", " &amp; ROUND('By site'!BQ5*100, 2) &amp; "]"</f>
        <v>0.76
[0.69, 0.83]</v>
      </c>
      <c r="Q27" t="str">
        <f>ROUND('By site'!BR5*100, 2) &amp; CHAR(10) &amp; "["  &amp; ROUND('By site'!BS5*100, 2) &amp; ", " &amp; ROUND('By site'!BT5*100, 2) &amp; "]"</f>
        <v>0
[0, 0]</v>
      </c>
      <c r="R27" t="str">
        <f>ROUND('By site'!BX5*100, 2) &amp; CHAR(10) &amp; "["  &amp; ROUND('By site'!BY5*100, 2) &amp; ", " &amp; ROUND('By site'!BZ5*100, 2) &amp; "]"</f>
        <v>1.1
[0.97, 1.23]</v>
      </c>
      <c r="T27" t="s">
        <v>93</v>
      </c>
      <c r="U27" s="3">
        <v>5.8385568524552574E-3</v>
      </c>
      <c r="V27" s="3">
        <v>5.9587925946185498E-3</v>
      </c>
      <c r="W27" s="18">
        <f t="shared" si="1"/>
        <v>-2.017786997182594E-2</v>
      </c>
    </row>
    <row r="28" spans="1:23" x14ac:dyDescent="0.2">
      <c r="A28" t="s">
        <v>92</v>
      </c>
      <c r="B28" t="str">
        <f>ROUND('By site'!S6, 0) &amp; " ["  &amp; ROUND('By site'!T6, 0) &amp; ", " &amp; ROUND('By site'!U6, 0) &amp; "]"</f>
        <v>131 [121, 142]</v>
      </c>
      <c r="C28" s="4">
        <v>6227.8408195989296</v>
      </c>
      <c r="D28" t="str">
        <f>ROUND('By site'!BJ6*100, 2) &amp; " ["  &amp; ROUND('By site'!BM6*100, 2) &amp; ", " &amp; ROUND('By site'!BN6*100, 2) &amp; "]"</f>
        <v>2.1 [1.94, 2.27]</v>
      </c>
      <c r="G28" t="s">
        <v>92</v>
      </c>
      <c r="H28" t="str">
        <f>ROUND('By site'!AX6*100, 2) &amp; CHAR(10) &amp; "["  &amp; ROUND('By site'!AY6*100, 2) &amp; ", " &amp; ROUND('By site'!AZ6*100, 2) &amp; "]"</f>
        <v>0.49
[0.46, 0.51]</v>
      </c>
      <c r="I28" t="str">
        <f>ROUND('By site'!BA6*100, 2) &amp; CHAR(10) &amp; "["  &amp; ROUND('By site'!BB6*100, 2) &amp; ", " &amp; ROUND('By site'!BC6*100, 2) &amp; "]"</f>
        <v>0.57
[0.44, 0.71]</v>
      </c>
      <c r="J28" t="str">
        <f>ROUND('By site'!BD6*100, 2) &amp; CHAR(10) &amp; "["  &amp; ROUND('By site'!BE6*100, 2) &amp; ", " &amp; ROUND('By site'!BF6*100, 2) &amp; "]"</f>
        <v>0
[0, 0]</v>
      </c>
      <c r="K28" t="str">
        <f>ROUND('By site'!BG6*100, 2) &amp; CHAR(10) &amp; "["  &amp; ROUND('By site'!BH6*100, 2) &amp; ", " &amp; ROUND('By site'!BI6*100, 2) &amp; "]"</f>
        <v>1.05
[1, 1.12]</v>
      </c>
      <c r="N28" t="s">
        <v>92</v>
      </c>
      <c r="O28" t="str">
        <f>ROUND('By site'!BU6*100, 2) &amp; CHAR(10) &amp; "["  &amp; ROUND('By site'!BV6*100, 2) &amp; ", " &amp; ROUND('By site'!BW6*100, 2) &amp; "]"</f>
        <v>0.34
[0.28, 0.41]</v>
      </c>
      <c r="P28" t="str">
        <f>ROUND('By site'!BO6*100, 2) &amp; CHAR(10) &amp; "["  &amp; ROUND('By site'!BP6*100, 2) &amp; ", " &amp; ROUND('By site'!BQ6*100, 2) &amp; "]"</f>
        <v>0.71
[0.63, 0.79]</v>
      </c>
      <c r="Q28" t="str">
        <f>ROUND('By site'!BR6*100, 2) &amp; CHAR(10) &amp; "["  &amp; ROUND('By site'!BS6*100, 2) &amp; ", " &amp; ROUND('By site'!BT6*100, 2) &amp; "]"</f>
        <v>0
[0, 0]</v>
      </c>
      <c r="R28" t="str">
        <f>ROUND('By site'!BX6*100, 2) &amp; CHAR(10) &amp; "["  &amp; ROUND('By site'!BY6*100, 2) &amp; ", " &amp; ROUND('By site'!BZ6*100, 2) &amp; "]"</f>
        <v>1.05
[0.91, 1.2]</v>
      </c>
      <c r="T28" t="s">
        <v>92</v>
      </c>
      <c r="U28" s="3">
        <v>5.8920542013129002E-3</v>
      </c>
      <c r="V28" s="3">
        <v>5.9587925946185498E-3</v>
      </c>
      <c r="W28" s="18">
        <f t="shared" si="1"/>
        <v>-1.1199985944454875E-2</v>
      </c>
    </row>
    <row r="29" spans="1:23" x14ac:dyDescent="0.2">
      <c r="A29" t="s">
        <v>94</v>
      </c>
      <c r="B29" t="str">
        <f>ROUND('By site'!S7, 0) &amp; " ["  &amp; ROUND('By site'!T7, 0) &amp; ", " &amp; ROUND('By site'!U7, 0) &amp; "]"</f>
        <v>11 [9, 13]</v>
      </c>
      <c r="C29" s="4">
        <v>264.97395591978602</v>
      </c>
      <c r="D29" t="str">
        <f>ROUND('By site'!BJ7*100, 2) &amp; " ["  &amp; ROUND('By site'!BM7*100, 2) &amp; ", " &amp; ROUND('By site'!BN7*100, 2) &amp; "]"</f>
        <v>4.12 [3.53, 4.82]</v>
      </c>
      <c r="G29" t="s">
        <v>94</v>
      </c>
      <c r="H29" t="str">
        <f>ROUND('By site'!AX7*100, 2) &amp; CHAR(10) &amp; "["  &amp; ROUND('By site'!AY7*100, 2) &amp; ", " &amp; ROUND('By site'!AZ7*100, 2) &amp; "]"</f>
        <v>0.97
[0.91, 1.03]</v>
      </c>
      <c r="I29" t="str">
        <f>ROUND('By site'!BA7*100, 2) &amp; CHAR(10) &amp; "["  &amp; ROUND('By site'!BB7*100, 2) &amp; ", " &amp; ROUND('By site'!BC7*100, 2) &amp; "]"</f>
        <v>0.9
[0.51, 1.37]</v>
      </c>
      <c r="J29" t="str">
        <f>ROUND('By site'!BD7*100, 2) &amp; CHAR(10) &amp; "["  &amp; ROUND('By site'!BE7*100, 2) &amp; ", " &amp; ROUND('By site'!BF7*100, 2) &amp; "]"</f>
        <v>0
[0, 0]</v>
      </c>
      <c r="K29" t="str">
        <f>ROUND('By site'!BG7*100, 2) &amp; CHAR(10) &amp; "["  &amp; ROUND('By site'!BH7*100, 2) &amp; ", " &amp; ROUND('By site'!BI7*100, 2) &amp; "]"</f>
        <v>1.87
[1.59, 2.21]</v>
      </c>
      <c r="N29" t="s">
        <v>94</v>
      </c>
      <c r="O29" t="str">
        <f>ROUND('By site'!BU7*100, 2) &amp; CHAR(10) &amp; "["  &amp; ROUND('By site'!BV7*100, 2) &amp; ", " &amp; ROUND('By site'!BW7*100, 2) &amp; "]"</f>
        <v>0.45
[0.37, 0.53]</v>
      </c>
      <c r="P29" t="str">
        <f>ROUND('By site'!BO7*100, 2) &amp; CHAR(10) &amp; "["  &amp; ROUND('By site'!BP7*100, 2) &amp; ", " &amp; ROUND('By site'!BQ7*100, 2) &amp; "]"</f>
        <v>1.8
[1.39, 2.35]</v>
      </c>
      <c r="Q29" t="str">
        <f>ROUND('By site'!BR7*100, 2) &amp; CHAR(10) &amp; "["  &amp; ROUND('By site'!BS7*100, 2) &amp; ", " &amp; ROUND('By site'!BT7*100, 2) &amp; "]"</f>
        <v>0
[0, 0]</v>
      </c>
      <c r="R29" t="str">
        <f>ROUND('By site'!BX7*100, 2) &amp; CHAR(10) &amp; "["  &amp; ROUND('By site'!BY7*100, 2) &amp; ", " &amp; ROUND('By site'!BZ7*100, 2) &amp; "]"</f>
        <v>2.25
[1.75, 2.88]</v>
      </c>
      <c r="T29" t="s">
        <v>94</v>
      </c>
      <c r="U29" s="3">
        <v>9.8453078805474329E-3</v>
      </c>
      <c r="V29" s="3">
        <v>5.1203661661178103E-2</v>
      </c>
      <c r="W29" s="18">
        <f t="shared" si="1"/>
        <v>-0.80772258152756282</v>
      </c>
    </row>
    <row r="30" spans="1:23" x14ac:dyDescent="0.2">
      <c r="A30" t="s">
        <v>95</v>
      </c>
      <c r="B30" t="str">
        <f>ROUND('By site'!S8, 0) &amp; " ["  &amp; ROUND('By site'!T8, 0) &amp; ", " &amp; ROUND('By site'!U8, 0) &amp; "]"</f>
        <v>16 [14, 18]</v>
      </c>
      <c r="C30" s="4">
        <v>284.66581394117702</v>
      </c>
      <c r="D30" t="str">
        <f>ROUND('By site'!BJ8*100, 2) &amp; " ["  &amp; ROUND('By site'!BM8*100, 2) &amp; ", " &amp; ROUND('By site'!BN8*100, 2) &amp; "]"</f>
        <v>5.56 [4.95, 6.21]</v>
      </c>
      <c r="G30" t="s">
        <v>95</v>
      </c>
      <c r="H30" t="str">
        <f>ROUND('By site'!AX8*100, 2) &amp; CHAR(10) &amp; "["  &amp; ROUND('By site'!AY8*100, 2) &amp; ", " &amp; ROUND('By site'!AZ8*100, 2) &amp; "]"</f>
        <v>0.94
[0.88, 1.01]</v>
      </c>
      <c r="I30" t="str">
        <f>ROUND('By site'!BA8*100, 2) &amp; CHAR(10) &amp; "["  &amp; ROUND('By site'!BB8*100, 2) &amp; ", " &amp; ROUND('By site'!BC8*100, 2) &amp; "]"</f>
        <v>1.58
[1.01, 2.24]</v>
      </c>
      <c r="J30" t="str">
        <f>ROUND('By site'!BD8*100, 2) &amp; CHAR(10) &amp; "["  &amp; ROUND('By site'!BE8*100, 2) &amp; ", " &amp; ROUND('By site'!BF8*100, 2) &amp; "]"</f>
        <v>0
[0, 0]</v>
      </c>
      <c r="K30" t="str">
        <f>ROUND('By site'!BG8*100, 2) &amp; CHAR(10) &amp; "["  &amp; ROUND('By site'!BH8*100, 2) &amp; ", " &amp; ROUND('By site'!BI8*100, 2) &amp; "]"</f>
        <v>2.51
[2.25, 2.82]</v>
      </c>
      <c r="N30" t="s">
        <v>95</v>
      </c>
      <c r="O30" t="str">
        <f>ROUND('By site'!BU8*100, 2) &amp; CHAR(10) &amp; "["  &amp; ROUND('By site'!BV8*100, 2) &amp; ", " &amp; ROUND('By site'!BW8*100, 2) &amp; "]"</f>
        <v>0.44
[0.36, 0.52]</v>
      </c>
      <c r="P30" t="str">
        <f>ROUND('By site'!BO8*100, 2) &amp; CHAR(10) &amp; "["  &amp; ROUND('By site'!BP8*100, 2) &amp; ", " &amp; ROUND('By site'!BQ8*100, 2) &amp; "]"</f>
        <v>2.61
[2.17, 3.12]</v>
      </c>
      <c r="Q30" t="str">
        <f>ROUND('By site'!BR8*100, 2) &amp; CHAR(10) &amp; "["  &amp; ROUND('By site'!BS8*100, 2) &amp; ", " &amp; ROUND('By site'!BT8*100, 2) &amp; "]"</f>
        <v>0
[0, 0]</v>
      </c>
      <c r="R30" t="str">
        <f>ROUND('By site'!BX8*100, 2) &amp; CHAR(10) &amp; "["  &amp; ROUND('By site'!BY8*100, 2) &amp; ", " &amp; ROUND('By site'!BZ8*100, 2) &amp; "]"</f>
        <v>3.04
[2.53, 3.63]</v>
      </c>
      <c r="T30" t="s">
        <v>95</v>
      </c>
      <c r="U30" s="3">
        <v>9.5444993512808288E-3</v>
      </c>
      <c r="V30" s="3">
        <v>4.8477730768718801E-2</v>
      </c>
      <c r="W30" s="18">
        <f t="shared" si="1"/>
        <v>-0.80311579770892239</v>
      </c>
    </row>
    <row r="31" spans="1:23" x14ac:dyDescent="0.2">
      <c r="A31" t="s">
        <v>97</v>
      </c>
      <c r="B31" t="str">
        <f>ROUND('By site'!S9, 0) &amp; " ["  &amp; ROUND('By site'!T9, 0) &amp; ", " &amp; ROUND('By site'!U9, 0) &amp; "]"</f>
        <v>11 [10, 12]</v>
      </c>
      <c r="C31" s="4">
        <v>231.42088684492001</v>
      </c>
      <c r="D31" t="str">
        <f>ROUND('By site'!BJ9*100, 2) &amp; " ["  &amp; ROUND('By site'!BM9*100, 2) &amp; ", " &amp; ROUND('By site'!BN9*100, 2) &amp; "]"</f>
        <v>4.62 [4.13, 5.18]</v>
      </c>
      <c r="G31" t="s">
        <v>97</v>
      </c>
      <c r="H31" t="str">
        <f>ROUND('By site'!AX9*100, 2) &amp; CHAR(10) &amp; "["  &amp; ROUND('By site'!AY9*100, 2) &amp; ", " &amp; ROUND('By site'!AZ9*100, 2) &amp; "]"</f>
        <v>0.78
[0.73, 0.85]</v>
      </c>
      <c r="I31" t="str">
        <f>ROUND('By site'!BA9*100, 2) &amp; CHAR(10) &amp; "["  &amp; ROUND('By site'!BB9*100, 2) &amp; ", " &amp; ROUND('By site'!BC9*100, 2) &amp; "]"</f>
        <v>1.66
[0.84, 2.65]</v>
      </c>
      <c r="J31" t="str">
        <f>ROUND('By site'!BD9*100, 2) &amp; CHAR(10) &amp; "["  &amp; ROUND('By site'!BE9*100, 2) &amp; ", " &amp; ROUND('By site'!BF9*100, 2) &amp; "]"</f>
        <v>0
[0, 0]</v>
      </c>
      <c r="K31" t="str">
        <f>ROUND('By site'!BG9*100, 2) &amp; CHAR(10) &amp; "["  &amp; ROUND('By site'!BH9*100, 2) &amp; ", " &amp; ROUND('By site'!BI9*100, 2) &amp; "]"</f>
        <v>2.44
[2.14, 2.81]</v>
      </c>
      <c r="N31" t="s">
        <v>97</v>
      </c>
      <c r="O31" t="str">
        <f>ROUND('By site'!BU9*100, 2) &amp; CHAR(10) &amp; "["  &amp; ROUND('By site'!BV9*100, 2) &amp; ", " &amp; ROUND('By site'!BW9*100, 2) &amp; "]"</f>
        <v>0.38
[0.31, 0.44]</v>
      </c>
      <c r="P31" t="str">
        <f>ROUND('By site'!BO9*100, 2) &amp; CHAR(10) &amp; "["  &amp; ROUND('By site'!BP9*100, 2) &amp; ", " &amp; ROUND('By site'!BQ9*100, 2) &amp; "]"</f>
        <v>1.8
[1.52, 2.18]</v>
      </c>
      <c r="Q31" t="str">
        <f>ROUND('By site'!BR9*100, 2) &amp; CHAR(10) &amp; "["  &amp; ROUND('By site'!BS9*100, 2) &amp; ", " &amp; ROUND('By site'!BT9*100, 2) &amp; "]"</f>
        <v>0
[0, 0]</v>
      </c>
      <c r="R31" t="str">
        <f>ROUND('By site'!BX9*100, 2) &amp; CHAR(10) &amp; "["  &amp; ROUND('By site'!BY9*100, 2) &amp; ", " &amp; ROUND('By site'!BZ9*100, 2) &amp; "]"</f>
        <v>2.18
[1.83, 2.62]</v>
      </c>
      <c r="T31" t="s">
        <v>97</v>
      </c>
      <c r="U31" s="3">
        <v>7.9568042729391778E-3</v>
      </c>
      <c r="V31" s="3">
        <v>5.6475808579374398E-2</v>
      </c>
      <c r="W31" s="18">
        <f t="shared" si="1"/>
        <v>-0.85911128192602648</v>
      </c>
    </row>
    <row r="32" spans="1:23" x14ac:dyDescent="0.2">
      <c r="A32" t="s">
        <v>96</v>
      </c>
      <c r="B32" t="str">
        <f>ROUND('By site'!S10, 0) &amp; " ["  &amp; ROUND('By site'!T10, 0) &amp; ", " &amp; ROUND('By site'!U10, 0) &amp; "]"</f>
        <v>9 [8, 11]</v>
      </c>
      <c r="C32" s="4">
        <v>245.23327540106999</v>
      </c>
      <c r="D32" t="str">
        <f>ROUND('By site'!BJ10*100, 2) &amp; " ["  &amp; ROUND('By site'!BM10*100, 2) &amp; ", " &amp; ROUND('By site'!BN10*100, 2) &amp; "]"</f>
        <v>3.76 [3.25, 4.42]</v>
      </c>
      <c r="G32" t="s">
        <v>96</v>
      </c>
      <c r="H32" t="str">
        <f>ROUND('By site'!AX10*100, 2) &amp; CHAR(10) &amp; "["  &amp; ROUND('By site'!AY10*100, 2) &amp; ", " &amp; ROUND('By site'!AZ10*100, 2) &amp; "]"</f>
        <v>0.77
[0.72, 0.83]</v>
      </c>
      <c r="I32" t="str">
        <f>ROUND('By site'!BA10*100, 2) &amp; CHAR(10) &amp; "["  &amp; ROUND('By site'!BB10*100, 2) &amp; ", " &amp; ROUND('By site'!BC10*100, 2) &amp; "]"</f>
        <v>1.05
[0.37, 1.99]</v>
      </c>
      <c r="J32" t="str">
        <f>ROUND('By site'!BD10*100, 2) &amp; CHAR(10) &amp; "["  &amp; ROUND('By site'!BE10*100, 2) &amp; ", " &amp; ROUND('By site'!BF10*100, 2) &amp; "]"</f>
        <v>0
[0, 0]</v>
      </c>
      <c r="K32" t="str">
        <f>ROUND('By site'!BG10*100, 2) &amp; CHAR(10) &amp; "["  &amp; ROUND('By site'!BH10*100, 2) &amp; ", " &amp; ROUND('By site'!BI10*100, 2) &amp; "]"</f>
        <v>1.83
[1.57, 2.17]</v>
      </c>
      <c r="N32" t="s">
        <v>96</v>
      </c>
      <c r="O32" t="str">
        <f>ROUND('By site'!BU10*100, 2) &amp; CHAR(10) &amp; "["  &amp; ROUND('By site'!BV10*100, 2) &amp; ", " &amp; ROUND('By site'!BW10*100, 2) &amp; "]"</f>
        <v>0.38
[0.31, 0.44]</v>
      </c>
      <c r="P32" t="str">
        <f>ROUND('By site'!BO10*100, 2) &amp; CHAR(10) &amp; "["  &amp; ROUND('By site'!BP10*100, 2) &amp; ", " &amp; ROUND('By site'!BQ10*100, 2) &amp; "]"</f>
        <v>1.56
[1.21, 2.07]</v>
      </c>
      <c r="Q32" t="str">
        <f>ROUND('By site'!BR10*100, 2) &amp; CHAR(10) &amp; "["  &amp; ROUND('By site'!BS10*100, 2) &amp; ", " &amp; ROUND('By site'!BT10*100, 2) &amp; "]"</f>
        <v>0
[0, 0]</v>
      </c>
      <c r="R32" t="str">
        <f>ROUND('By site'!BX10*100, 2) &amp; CHAR(10) &amp; "["  &amp; ROUND('By site'!BY10*100, 2) &amp; ", " &amp; ROUND('By site'!BZ10*100, 2) &amp; "]"</f>
        <v>1.94
[1.52, 2.52]</v>
      </c>
      <c r="T32" t="s">
        <v>96</v>
      </c>
      <c r="U32" s="3">
        <v>7.8200248719867901E-3</v>
      </c>
      <c r="V32" s="3">
        <v>5.6475808579374398E-2</v>
      </c>
      <c r="W32" s="18">
        <f t="shared" si="1"/>
        <v>-0.86153319326103905</v>
      </c>
    </row>
    <row r="33" spans="1:28" x14ac:dyDescent="0.2">
      <c r="A33" t="s">
        <v>98</v>
      </c>
      <c r="B33" t="str">
        <f>ROUND('By site'!S11, 0) &amp; " ["  &amp; ROUND('By site'!T11, 0) &amp; ", " &amp; ROUND('By site'!U11, 0) &amp; "]"</f>
        <v>5 [4, 6]</v>
      </c>
      <c r="C33" s="4">
        <v>198.01850534759399</v>
      </c>
      <c r="D33" t="str">
        <f>ROUND('By site'!BJ11*100, 2) &amp; " ["  &amp; ROUND('By site'!BM11*100, 2) &amp; ", " &amp; ROUND('By site'!BN11*100, 2) &amp; "]"</f>
        <v>2.52 [2.21, 2.9]</v>
      </c>
      <c r="G33" t="s">
        <v>98</v>
      </c>
      <c r="H33" t="str">
        <f>ROUND('By site'!AX11*100, 2) &amp; CHAR(10) &amp; "["  &amp; ROUND('By site'!AY11*100, 2) &amp; ", " &amp; ROUND('By site'!AZ11*100, 2) &amp; "]"</f>
        <v>0.87
[0.81, 0.94]</v>
      </c>
      <c r="I33" t="str">
        <f>ROUND('By site'!BA11*100, 2) &amp; CHAR(10) &amp; "["  &amp; ROUND('By site'!BB11*100, 2) &amp; ", " &amp; ROUND('By site'!BC11*100, 2) &amp; "]"</f>
        <v>0.88
[0.46, 1.38]</v>
      </c>
      <c r="J33" t="str">
        <f>ROUND('By site'!BD11*100, 2) &amp; CHAR(10) &amp; "["  &amp; ROUND('By site'!BE11*100, 2) &amp; ", " &amp; ROUND('By site'!BF11*100, 2) &amp; "]"</f>
        <v>0
[0, 0]</v>
      </c>
      <c r="K33" t="str">
        <f>ROUND('By site'!BG11*100, 2) &amp; CHAR(10) &amp; "["  &amp; ROUND('By site'!BH11*100, 2) &amp; ", " &amp; ROUND('By site'!BI11*100, 2) &amp; "]"</f>
        <v>1.75
[1.53, 2.02]</v>
      </c>
      <c r="N33" t="s">
        <v>98</v>
      </c>
      <c r="O33" t="str">
        <f>ROUND('By site'!BU11*100, 2) &amp; CHAR(10) &amp; "["  &amp; ROUND('By site'!BV11*100, 2) &amp; ", " &amp; ROUND('By site'!BW11*100, 2) &amp; "]"</f>
        <v>0.38
[0.31, 0.44]</v>
      </c>
      <c r="P33" t="str">
        <f>ROUND('By site'!BO11*100, 2) &amp; CHAR(10) &amp; "["  &amp; ROUND('By site'!BP11*100, 2) &amp; ", " &amp; ROUND('By site'!BQ11*100, 2) &amp; "]"</f>
        <v>0.4
[0.27, 0.53]</v>
      </c>
      <c r="Q33" t="str">
        <f>ROUND('By site'!BR11*100, 2) &amp; CHAR(10) &amp; "["  &amp; ROUND('By site'!BS11*100, 2) &amp; ", " &amp; ROUND('By site'!BT11*100, 2) &amp; "]"</f>
        <v>0
[0, 0]</v>
      </c>
      <c r="R33" t="str">
        <f>ROUND('By site'!BX11*100, 2) &amp; CHAR(10) &amp; "["  &amp; ROUND('By site'!BY11*100, 2) &amp; ", " &amp; ROUND('By site'!BZ11*100, 2) &amp; "]"</f>
        <v>0.77
[0.58, 0.97]</v>
      </c>
      <c r="T33" t="s">
        <v>98</v>
      </c>
      <c r="U33" s="3">
        <v>9.093449533856721E-3</v>
      </c>
      <c r="V33" s="3">
        <v>5.6475808579374398E-2</v>
      </c>
      <c r="W33" s="18">
        <f t="shared" si="1"/>
        <v>-0.83898504930520379</v>
      </c>
    </row>
    <row r="34" spans="1:28" x14ac:dyDescent="0.2">
      <c r="A34" t="s">
        <v>99</v>
      </c>
      <c r="B34" t="str">
        <f>ROUND('By site'!S12, 0) &amp; " ["  &amp; ROUND('By site'!T12, 0) &amp; ", " &amp; ROUND('By site'!U12, 0) &amp; "]"</f>
        <v>21 [20, 23]</v>
      </c>
      <c r="C34" s="4">
        <v>1997.39449106952</v>
      </c>
      <c r="D34" t="str">
        <f>ROUND('By site'!BJ12*100, 2) &amp; " ["  &amp; ROUND('By site'!BM12*100, 2) &amp; ", " &amp; ROUND('By site'!BN12*100, 2) &amp; "]"</f>
        <v>1.07 [0.98, 1.17]</v>
      </c>
      <c r="G34" t="s">
        <v>99</v>
      </c>
      <c r="H34" t="str">
        <f>ROUND('By site'!AX12*100, 2) &amp; CHAR(10) &amp; "["  &amp; ROUND('By site'!AY12*100, 2) &amp; ", " &amp; ROUND('By site'!AZ12*100, 2) &amp; "]"</f>
        <v>0.61
[0.58, 0.65]</v>
      </c>
      <c r="I34" t="str">
        <f>ROUND('By site'!BA12*100, 2) &amp; CHAR(10) &amp; "["  &amp; ROUND('By site'!BB12*100, 2) &amp; ", " &amp; ROUND('By site'!BC12*100, 2) &amp; "]"</f>
        <v>0.11
[0.04, 0.2]</v>
      </c>
      <c r="J34" t="str">
        <f>ROUND('By site'!BD12*100, 2) &amp; CHAR(10) &amp; "["  &amp; ROUND('By site'!BE12*100, 2) &amp; ", " &amp; ROUND('By site'!BF12*100, 2) &amp; "]"</f>
        <v>0
[0, 0]</v>
      </c>
      <c r="K34" t="str">
        <f>ROUND('By site'!BG12*100, 2) &amp; CHAR(10) &amp; "["  &amp; ROUND('By site'!BH12*100, 2) &amp; ", " &amp; ROUND('By site'!BI12*100, 2) &amp; "]"</f>
        <v>0.73
[0.69, 0.77]</v>
      </c>
      <c r="N34" t="s">
        <v>99</v>
      </c>
      <c r="O34" t="str">
        <f>ROUND('By site'!BU12*100, 2) &amp; CHAR(10) &amp; "["  &amp; ROUND('By site'!BV12*100, 2) &amp; ", " &amp; ROUND('By site'!BW12*100, 2) &amp; "]"</f>
        <v>0.31
[0.26, 0.37]</v>
      </c>
      <c r="P34" t="str">
        <f>ROUND('By site'!BO12*100, 2) &amp; CHAR(10) &amp; "["  &amp; ROUND('By site'!BP12*100, 2) &amp; ", " &amp; ROUND('By site'!BQ12*100, 2) &amp; "]"</f>
        <v>0.03
[0.02, 0.05]</v>
      </c>
      <c r="Q34" t="str">
        <f>ROUND('By site'!BR12*100, 2) &amp; CHAR(10) &amp; "["  &amp; ROUND('By site'!BS12*100, 2) &amp; ", " &amp; ROUND('By site'!BT12*100, 2) &amp; "]"</f>
        <v>0
[0, 0]</v>
      </c>
      <c r="R34" t="str">
        <f>ROUND('By site'!BX12*100, 2) &amp; CHAR(10) &amp; "["  &amp; ROUND('By site'!BY12*100, 2) &amp; ", " &amp; ROUND('By site'!BZ12*100, 2) &amp; "]"</f>
        <v>0.35
[0.28, 0.42]</v>
      </c>
      <c r="T34" t="s">
        <v>99</v>
      </c>
      <c r="U34" s="3">
        <v>6.2682693357366719E-3</v>
      </c>
      <c r="V34" s="3">
        <v>5.4262313508968698E-3</v>
      </c>
      <c r="W34" s="18">
        <f t="shared" si="1"/>
        <v>0.15517915296785614</v>
      </c>
    </row>
    <row r="35" spans="1:28" x14ac:dyDescent="0.2">
      <c r="A35" t="s">
        <v>100</v>
      </c>
      <c r="B35" t="str">
        <f>ROUND('By site'!S13, 0) &amp; " ["  &amp; ROUND('By site'!T13, 0) &amp; ", " &amp; ROUND('By site'!U13, 0) &amp; "]"</f>
        <v>23 [21, 26]</v>
      </c>
      <c r="C35" s="4">
        <v>1972.72576203209</v>
      </c>
      <c r="D35" t="str">
        <f>ROUND('By site'!BJ13*100, 2) &amp; " ["  &amp; ROUND('By site'!BM13*100, 2) &amp; ", " &amp; ROUND('By site'!BN13*100, 2) &amp; "]"</f>
        <v>1.17 [1.05, 1.33]</v>
      </c>
      <c r="G35" t="s">
        <v>100</v>
      </c>
      <c r="H35" t="str">
        <f>ROUND('By site'!AX13*100, 2) &amp; CHAR(10) &amp; "["  &amp; ROUND('By site'!AY13*100, 2) &amp; ", " &amp; ROUND('By site'!AZ13*100, 2) &amp; "]"</f>
        <v>0.62
[0.59, 0.66]</v>
      </c>
      <c r="I35" t="str">
        <f>ROUND('By site'!BA13*100, 2) &amp; CHAR(10) &amp; "["  &amp; ROUND('By site'!BB13*100, 2) &amp; ", " &amp; ROUND('By site'!BC13*100, 2) &amp; "]"</f>
        <v>0.12
[0.03, 0.23]</v>
      </c>
      <c r="J35" t="str">
        <f>ROUND('By site'!BD13*100, 2) &amp; CHAR(10) &amp; "["  &amp; ROUND('By site'!BE13*100, 2) &amp; ", " &amp; ROUND('By site'!BF13*100, 2) &amp; "]"</f>
        <v>0
[0, 0]</v>
      </c>
      <c r="K35" t="str">
        <f>ROUND('By site'!BG13*100, 2) &amp; CHAR(10) &amp; "["  &amp; ROUND('By site'!BH13*100, 2) &amp; ", " &amp; ROUND('By site'!BI13*100, 2) &amp; "]"</f>
        <v>0.74
[0.7, 0.79]</v>
      </c>
      <c r="N35" t="s">
        <v>100</v>
      </c>
      <c r="O35" t="str">
        <f>ROUND('By site'!BU13*100, 2) &amp; CHAR(10) &amp; "["  &amp; ROUND('By site'!BV13*100, 2) &amp; ", " &amp; ROUND('By site'!BW13*100, 2) &amp; "]"</f>
        <v>0.31
[0.26, 0.37]</v>
      </c>
      <c r="P35" t="str">
        <f>ROUND('By site'!BO13*100, 2) &amp; CHAR(10) &amp; "["  &amp; ROUND('By site'!BP13*100, 2) &amp; ", " &amp; ROUND('By site'!BQ13*100, 2) &amp; "]"</f>
        <v>0.12
[0.08, 0.21]</v>
      </c>
      <c r="Q35" t="str">
        <f>ROUND('By site'!BR13*100, 2) &amp; CHAR(10) &amp; "["  &amp; ROUND('By site'!BS13*100, 2) &amp; ", " &amp; ROUND('By site'!BT13*100, 2) &amp; "]"</f>
        <v>0
[0, 0]</v>
      </c>
      <c r="R35" t="str">
        <f>ROUND('By site'!BX13*100, 2) &amp; CHAR(10) &amp; "["  &amp; ROUND('By site'!BY13*100, 2) &amp; ", " &amp; ROUND('By site'!BZ13*100, 2) &amp; "]"</f>
        <v>0.43
[0.33, 0.58]</v>
      </c>
      <c r="T35" t="s">
        <v>100</v>
      </c>
      <c r="U35" s="3">
        <v>6.4170617836058165E-3</v>
      </c>
      <c r="V35" s="3">
        <v>5.4262313508968698E-3</v>
      </c>
      <c r="W35" s="18">
        <f t="shared" si="1"/>
        <v>0.18260010836898397</v>
      </c>
    </row>
    <row r="36" spans="1:28" x14ac:dyDescent="0.2">
      <c r="A36" t="s">
        <v>101</v>
      </c>
      <c r="B36" t="str">
        <f>ROUND('By site'!S14, 0) &amp; " ["  &amp; ROUND('By site'!T14, 0) &amp; ", " &amp; ROUND('By site'!U14, 0) &amp; "]"</f>
        <v>76 [67, 86]</v>
      </c>
      <c r="C36" s="4">
        <v>10242.480039304801</v>
      </c>
      <c r="D36" t="str">
        <f>ROUND('By site'!BJ14*100, 2) &amp; " ["  &amp; ROUND('By site'!BM14*100, 2) &amp; ", " &amp; ROUND('By site'!BN14*100, 2) &amp; "]"</f>
        <v>0.75 [0.66, 0.84]</v>
      </c>
      <c r="G36" t="s">
        <v>101</v>
      </c>
      <c r="H36" t="str">
        <f>ROUND('By site'!AX14*100, 2) &amp; CHAR(10) &amp; "["  &amp; ROUND('By site'!AY14*100, 2) &amp; ", " &amp; ROUND('By site'!AZ14*100, 2) &amp; "]"</f>
        <v>0.12
[0.11, 0.12]</v>
      </c>
      <c r="I36" t="str">
        <f>ROUND('By site'!BA14*100, 2) &amp; CHAR(10) &amp; "["  &amp; ROUND('By site'!BB14*100, 2) &amp; ", " &amp; ROUND('By site'!BC14*100, 2) &amp; "]"</f>
        <v>0.38
[0.3, 0.46]</v>
      </c>
      <c r="J36" t="str">
        <f>ROUND('By site'!BD14*100, 2) &amp; CHAR(10) &amp; "["  &amp; ROUND('By site'!BE14*100, 2) &amp; ", " &amp; ROUND('By site'!BF14*100, 2) &amp; "]"</f>
        <v>0
[0, 0]</v>
      </c>
      <c r="K36" t="str">
        <f>ROUND('By site'!BG14*100, 2) &amp; CHAR(10) &amp; "["  &amp; ROUND('By site'!BH14*100, 2) &amp; ", " &amp; ROUND('By site'!BI14*100, 2) &amp; "]"</f>
        <v>0.49
[0.44, 0.56]</v>
      </c>
      <c r="N36" t="s">
        <v>101</v>
      </c>
      <c r="O36" t="str">
        <f>ROUND('By site'!BU14*100, 2) &amp; CHAR(10) &amp; "["  &amp; ROUND('By site'!BV14*100, 2) &amp; ", " &amp; ROUND('By site'!BW14*100, 2) &amp; "]"</f>
        <v>0.18
[0.15, 0.21]</v>
      </c>
      <c r="P36" t="str">
        <f>ROUND('By site'!BO14*100, 2) &amp; CHAR(10) &amp; "["  &amp; ROUND('By site'!BP14*100, 2) &amp; ", " &amp; ROUND('By site'!BQ14*100, 2) &amp; "]"</f>
        <v>0.08
[0.06, 0.1]</v>
      </c>
      <c r="Q36" t="str">
        <f>ROUND('By site'!BR14*100, 2) &amp; CHAR(10) &amp; "["  &amp; ROUND('By site'!BS14*100, 2) &amp; ", " &amp; ROUND('By site'!BT14*100, 2) &amp; "]"</f>
        <v>0
[0, 0]</v>
      </c>
      <c r="R36" t="str">
        <f>ROUND('By site'!BX14*100, 2) &amp; CHAR(10) &amp; "["  &amp; ROUND('By site'!BY14*100, 2) &amp; ", " &amp; ROUND('By site'!BZ14*100, 2) &amp; "]"</f>
        <v>0.25
[0.2, 0.31]</v>
      </c>
      <c r="T36" t="s">
        <v>101</v>
      </c>
      <c r="U36" s="3">
        <v>1.1666297611182355E-3</v>
      </c>
      <c r="V36" s="3">
        <v>3.0734467370106002E-3</v>
      </c>
      <c r="W36" s="18">
        <f t="shared" si="1"/>
        <v>-0.62041647018976409</v>
      </c>
    </row>
    <row r="37" spans="1:28" x14ac:dyDescent="0.2">
      <c r="A37" t="s">
        <v>89</v>
      </c>
      <c r="B37" t="str">
        <f>ROUND('By site'!S15, 0) &amp; " ["  &amp; ROUND('By site'!T15, 0) &amp; ", " &amp; ROUND('By site'!U15, 0) &amp; "]"</f>
        <v>20 [18, 22]</v>
      </c>
      <c r="C37" s="4">
        <v>350.73926764171102</v>
      </c>
      <c r="D37" t="str">
        <f>ROUND('By site'!BJ15*100, 2) &amp; " ["  &amp; ROUND('By site'!BM15*100, 2) &amp; ", " &amp; ROUND('By site'!BN15*100, 2) &amp; "]"</f>
        <v>5.73 [5.27, 6.21]</v>
      </c>
      <c r="G37" t="s">
        <v>89</v>
      </c>
      <c r="H37" t="str">
        <f>ROUND('By site'!AX15*100, 2) &amp; CHAR(10) &amp; "["  &amp; ROUND('By site'!AY15*100, 2) &amp; ", " &amp; ROUND('By site'!AZ15*100, 2) &amp; "]"</f>
        <v>3
[2.86, 3.15]</v>
      </c>
      <c r="I37" t="str">
        <f>ROUND('By site'!BA15*100, 2) &amp; CHAR(10) &amp; "["  &amp; ROUND('By site'!BB15*100, 2) &amp; ", " &amp; ROUND('By site'!BC15*100, 2) &amp; "]"</f>
        <v>1.68
[1.06, 2.3]</v>
      </c>
      <c r="J37" t="str">
        <f>ROUND('By site'!BD15*100, 2) &amp; CHAR(10) &amp; "["  &amp; ROUND('By site'!BE15*100, 2) &amp; ", " &amp; ROUND('By site'!BF15*100, 2) &amp; "]"</f>
        <v>0
[0, 0]</v>
      </c>
      <c r="K37" t="str">
        <f>ROUND('By site'!BG15*100, 2) &amp; CHAR(10) &amp; "["  &amp; ROUND('By site'!BH15*100, 2) &amp; ", " &amp; ROUND('By site'!BI15*100, 2) &amp; "]"</f>
        <v>4.69
[4.35, 5.03]</v>
      </c>
      <c r="N37" t="s">
        <v>89</v>
      </c>
      <c r="O37" t="str">
        <f>ROUND('By site'!BU15*100, 2) &amp; CHAR(10) &amp; "["  &amp; ROUND('By site'!BV15*100, 2) &amp; ", " &amp; ROUND('By site'!BW15*100, 2) &amp; "]"</f>
        <v>0.38
[0.31, 0.44]</v>
      </c>
      <c r="P37" t="str">
        <f>ROUND('By site'!BO15*100, 2) &amp; CHAR(10) &amp; "["  &amp; ROUND('By site'!BP15*100, 2) &amp; ", " &amp; ROUND('By site'!BQ15*100, 2) &amp; "]"</f>
        <v>0.67
[0.49, 0.91]</v>
      </c>
      <c r="Q37" t="str">
        <f>ROUND('By site'!BR15*100, 2) &amp; CHAR(10) &amp; "["  &amp; ROUND('By site'!BS15*100, 2) &amp; ", " &amp; ROUND('By site'!BT15*100, 2) &amp; "]"</f>
        <v>0
[0, 0]</v>
      </c>
      <c r="R37" t="str">
        <f>ROUND('By site'!BX15*100, 2) &amp; CHAR(10) &amp; "["  &amp; ROUND('By site'!BY15*100, 2) &amp; ", " &amp; ROUND('By site'!BZ15*100, 2) &amp; "]"</f>
        <v>1.05
[0.8, 1.35]</v>
      </c>
      <c r="T37" t="s">
        <v>89</v>
      </c>
      <c r="U37" s="3">
        <v>3.1700471079648754E-2</v>
      </c>
      <c r="V37" s="3">
        <v>1.8855842445038701E-2</v>
      </c>
      <c r="W37" s="18">
        <f t="shared" si="1"/>
        <v>0.68120152531236788</v>
      </c>
    </row>
    <row r="38" spans="1:28" x14ac:dyDescent="0.2">
      <c r="A38" t="s">
        <v>102</v>
      </c>
      <c r="B38" t="str">
        <f>ROUND('By site'!S16, 0) &amp; " ["  &amp; ROUND('By site'!T16, 0) &amp; ", " &amp; ROUND('By site'!U16, 0) &amp; "]"</f>
        <v>22 [19, 24]</v>
      </c>
      <c r="C38" s="4">
        <v>636.66721925133697</v>
      </c>
      <c r="D38" t="str">
        <f>ROUND('By site'!BJ16*100, 2) &amp; " ["  &amp; ROUND('By site'!BM16*100, 2) &amp; ", " &amp; ROUND('By site'!BN16*100, 2) &amp; "]"</f>
        <v>3.39 [3.05, 3.76]</v>
      </c>
      <c r="G38" t="s">
        <v>102</v>
      </c>
      <c r="H38" t="str">
        <f>ROUND('By site'!AX16*100, 2) &amp; CHAR(10) &amp; "["  &amp; ROUND('By site'!AY16*100, 2) &amp; ", " &amp; ROUND('By site'!AZ16*100, 2) &amp; "]"</f>
        <v>0.54
[0.48, 0.59]</v>
      </c>
      <c r="I38" t="str">
        <f>ROUND('By site'!BA16*100, 2) &amp; CHAR(10) &amp; "["  &amp; ROUND('By site'!BB16*100, 2) &amp; ", " &amp; ROUND('By site'!BC16*100, 2) &amp; "]"</f>
        <v>1.6
[1.31, 1.96]</v>
      </c>
      <c r="J38" t="str">
        <f>ROUND('By site'!BD16*100, 2) &amp; CHAR(10) &amp; "["  &amp; ROUND('By site'!BE16*100, 2) &amp; ", " &amp; ROUND('By site'!BF16*100, 2) &amp; "]"</f>
        <v>0.33
[0.21, 0.47]</v>
      </c>
      <c r="K38" t="str">
        <f>ROUND('By site'!BG16*100, 2) &amp; CHAR(10) &amp; "["  &amp; ROUND('By site'!BH16*100, 2) &amp; ", " &amp; ROUND('By site'!BI16*100, 2) &amp; "]"</f>
        <v>2.47
[2.22, 2.76]</v>
      </c>
      <c r="N38" t="s">
        <v>102</v>
      </c>
      <c r="O38" t="str">
        <f>ROUND('By site'!BU16*100, 2) &amp; CHAR(10) &amp; "["  &amp; ROUND('By site'!BV16*100, 2) &amp; ", " &amp; ROUND('By site'!BW16*100, 2) &amp; "]"</f>
        <v>0.34
[0.28, 0.41]</v>
      </c>
      <c r="P38" t="str">
        <f>ROUND('By site'!BO16*100, 2) &amp; CHAR(10) &amp; "["  &amp; ROUND('By site'!BP16*100, 2) &amp; ", " &amp; ROUND('By site'!BQ16*100, 2) &amp; "]"</f>
        <v>0.27
[0.22, 0.32]</v>
      </c>
      <c r="Q38" t="str">
        <f>ROUND('By site'!BR16*100, 2) &amp; CHAR(10) &amp; "["  &amp; ROUND('By site'!BS16*100, 2) &amp; ", " &amp; ROUND('By site'!BT16*100, 2) &amp; "]"</f>
        <v>0.3
[0.24, 0.37]</v>
      </c>
      <c r="R38" t="str">
        <f>ROUND('By site'!BX16*100, 2) &amp; CHAR(10) &amp; "["  &amp; ROUND('By site'!BY16*100, 2) &amp; ", " &amp; ROUND('By site'!BZ16*100, 2) &amp; "]"</f>
        <v>0.91
[0.77, 1.07]</v>
      </c>
      <c r="T38" t="s">
        <v>102</v>
      </c>
      <c r="U38" s="3">
        <v>5.546384995848145E-3</v>
      </c>
      <c r="V38" s="3">
        <v>5.9587925946185498E-3</v>
      </c>
      <c r="W38" s="18">
        <f t="shared" si="1"/>
        <v>-6.9209926712813369E-2</v>
      </c>
    </row>
    <row r="39" spans="1:28" x14ac:dyDescent="0.2">
      <c r="A39" t="s">
        <v>103</v>
      </c>
      <c r="B39" t="str">
        <f>ROUND('By site'!S17, 0) &amp; " ["  &amp; ROUND('By site'!T17, 0) &amp; ", " &amp; ROUND('By site'!U17, 0) &amp; "]"</f>
        <v>219 [208, 232]</v>
      </c>
      <c r="C39" s="4">
        <v>4755.8021327807501</v>
      </c>
      <c r="D39" t="str">
        <f>ROUND('By site'!BJ17*100, 2) &amp; " ["  &amp; ROUND('By site'!BM17*100, 2) &amp; ", " &amp; ROUND('By site'!BN17*100, 2) &amp; "]"</f>
        <v>4.61 [4.36, 4.88]</v>
      </c>
      <c r="G39" t="s">
        <v>103</v>
      </c>
      <c r="H39" t="str">
        <f>ROUND('By site'!AX17*100, 2) &amp; CHAR(10) &amp; "["  &amp; ROUND('By site'!AY17*100, 2) &amp; ", " &amp; ROUND('By site'!AZ17*100, 2) &amp; "]"</f>
        <v>0.47
[0.44, 0.49]</v>
      </c>
      <c r="I39" t="str">
        <f>ROUND('By site'!BA17*100, 2) &amp; CHAR(10) &amp; "["  &amp; ROUND('By site'!BB17*100, 2) &amp; ", " &amp; ROUND('By site'!BC17*100, 2) &amp; "]"</f>
        <v>2.19
[1.88, 2.53]</v>
      </c>
      <c r="J39" t="str">
        <f>ROUND('By site'!BD17*100, 2) &amp; CHAR(10) &amp; "["  &amp; ROUND('By site'!BE17*100, 2) &amp; ", " &amp; ROUND('By site'!BF17*100, 2) &amp; "]"</f>
        <v>0
[0, 0]</v>
      </c>
      <c r="K39" t="str">
        <f>ROUND('By site'!BG17*100, 2) &amp; CHAR(10) &amp; "["  &amp; ROUND('By site'!BH17*100, 2) &amp; ", " &amp; ROUND('By site'!BI17*100, 2) &amp; "]"</f>
        <v>2.66
[2.55, 2.77]</v>
      </c>
      <c r="N39" t="s">
        <v>103</v>
      </c>
      <c r="O39" t="str">
        <f>ROUND('By site'!BU17*100, 2) &amp; CHAR(10) &amp; "["  &amp; ROUND('By site'!BV17*100, 2) &amp; ", " &amp; ROUND('By site'!BW17*100, 2) &amp; "]"</f>
        <v>0.36
[0.3, 0.43]</v>
      </c>
      <c r="P39" t="str">
        <f>ROUND('By site'!BO17*100, 2) &amp; CHAR(10) &amp; "["  &amp; ROUND('By site'!BP17*100, 2) &amp; ", " &amp; ROUND('By site'!BQ17*100, 2) &amp; "]"</f>
        <v>1.59
[1.45, 1.77]</v>
      </c>
      <c r="Q39" t="str">
        <f>ROUND('By site'!BR17*100, 2) &amp; CHAR(10) &amp; "["  &amp; ROUND('By site'!BS17*100, 2) &amp; ", " &amp; ROUND('By site'!BT17*100, 2) &amp; "]"</f>
        <v>0
[0, 0]</v>
      </c>
      <c r="R39" t="str">
        <f>ROUND('By site'!BX17*100, 2) &amp; CHAR(10) &amp; "["  &amp; ROUND('By site'!BY17*100, 2) &amp; ", " &amp; ROUND('By site'!BZ17*100, 2) &amp; "]"</f>
        <v>1.95
[1.75, 2.19]</v>
      </c>
      <c r="T39" t="s">
        <v>103</v>
      </c>
      <c r="U39" s="3">
        <v>6.008986613839036E-3</v>
      </c>
      <c r="V39" s="3">
        <v>5.9587925946185498E-3</v>
      </c>
      <c r="W39" s="18">
        <f t="shared" si="1"/>
        <v>8.4235217828888716E-3</v>
      </c>
    </row>
    <row r="40" spans="1:28" x14ac:dyDescent="0.2">
      <c r="A40" t="s">
        <v>104</v>
      </c>
      <c r="B40" t="str">
        <f>ROUND('By site'!S18, 0) &amp; " ["  &amp; ROUND('By site'!T18, 0) &amp; ", " &amp; ROUND('By site'!U18, 0) &amp; "]"</f>
        <v>122 [114, 130]</v>
      </c>
      <c r="C40" s="4">
        <v>3613.2165038502699</v>
      </c>
      <c r="D40" t="str">
        <f>ROUND('By site'!BJ18*100, 2) &amp; " ["  &amp; ROUND('By site'!BM18*100, 2) &amp; ", " &amp; ROUND('By site'!BN18*100, 2) &amp; "]"</f>
        <v>3.37 [3.16, 3.59]</v>
      </c>
      <c r="G40" t="s">
        <v>104</v>
      </c>
      <c r="H40" t="str">
        <f>ROUND('By site'!AX18*100, 2) &amp; CHAR(10) &amp; "["  &amp; ROUND('By site'!AY18*100, 2) &amp; ", " &amp; ROUND('By site'!AZ18*100, 2) &amp; "]"</f>
        <v>0.38
[0.35, 0.4]</v>
      </c>
      <c r="I40" t="str">
        <f>ROUND('By site'!BA18*100, 2) &amp; CHAR(10) &amp; "["  &amp; ROUND('By site'!BB18*100, 2) &amp; ", " &amp; ROUND('By site'!BC18*100, 2) &amp; "]"</f>
        <v>1.6
[1.25, 1.98]</v>
      </c>
      <c r="J40" t="str">
        <f>ROUND('By site'!BD18*100, 2) &amp; CHAR(10) &amp; "["  &amp; ROUND('By site'!BE18*100, 2) &amp; ", " &amp; ROUND('By site'!BF18*100, 2) &amp; "]"</f>
        <v>0
[0, 0]</v>
      </c>
      <c r="K40" t="str">
        <f>ROUND('By site'!BG18*100, 2) &amp; CHAR(10) &amp; "["  &amp; ROUND('By site'!BH18*100, 2) &amp; ", " &amp; ROUND('By site'!BI18*100, 2) &amp; "]"</f>
        <v>1.98
[1.88, 2.08]</v>
      </c>
      <c r="N40" t="s">
        <v>104</v>
      </c>
      <c r="O40" t="str">
        <f>ROUND('By site'!BU18*100, 2) &amp; CHAR(10) &amp; "["  &amp; ROUND('By site'!BV18*100, 2) &amp; ", " &amp; ROUND('By site'!BW18*100, 2) &amp; "]"</f>
        <v>0.36
[0.3, 0.43]</v>
      </c>
      <c r="P40" t="str">
        <f>ROUND('By site'!BO18*100, 2) &amp; CHAR(10) &amp; "["  &amp; ROUND('By site'!BP18*100, 2) &amp; ", " &amp; ROUND('By site'!BQ18*100, 2) &amp; "]"</f>
        <v>1.03
[0.94, 1.15]</v>
      </c>
      <c r="Q40" t="str">
        <f>ROUND('By site'!BR18*100, 2) &amp; CHAR(10) &amp; "["  &amp; ROUND('By site'!BS18*100, 2) &amp; ", " &amp; ROUND('By site'!BT18*100, 2) &amp; "]"</f>
        <v>0
[0, 0]</v>
      </c>
      <c r="R40" t="str">
        <f>ROUND('By site'!BX18*100, 2) &amp; CHAR(10) &amp; "["  &amp; ROUND('By site'!BY18*100, 2) &amp; ", " &amp; ROUND('By site'!BZ18*100, 2) &amp; "]"</f>
        <v>1.39
[1.24, 1.57]</v>
      </c>
      <c r="T40" t="s">
        <v>104</v>
      </c>
      <c r="U40" s="3">
        <v>5.1721775297821756E-3</v>
      </c>
      <c r="V40" s="3">
        <v>5.9587925946185498E-3</v>
      </c>
      <c r="W40" s="18">
        <f t="shared" si="1"/>
        <v>-0.13200913647284432</v>
      </c>
    </row>
    <row r="41" spans="1:28" x14ac:dyDescent="0.2">
      <c r="A41" t="s">
        <v>105</v>
      </c>
      <c r="B41" t="str">
        <f>ROUND('By site'!S19, 0) &amp; " ["  &amp; ROUND('By site'!T19, 0) &amp; ", " &amp; ROUND('By site'!U19, 0) &amp; "]"</f>
        <v>98 [89, 107]</v>
      </c>
      <c r="C41" s="4">
        <v>1142.58562965241</v>
      </c>
      <c r="D41" t="str">
        <f>ROUND('By site'!BJ19*100, 2) &amp; " ["  &amp; ROUND('By site'!BM19*100, 2) &amp; ", " &amp; ROUND('By site'!BN19*100, 2) &amp; "]"</f>
        <v>8.55 [7.83, 9.38]</v>
      </c>
      <c r="G41" t="s">
        <v>105</v>
      </c>
      <c r="H41" t="str">
        <f>ROUND('By site'!AX19*100, 2) &amp; CHAR(10) &amp; "["  &amp; ROUND('By site'!AY19*100, 2) &amp; ", " &amp; ROUND('By site'!AZ19*100, 2) &amp; "]"</f>
        <v>0.78
[0.71, 0.86]</v>
      </c>
      <c r="I41" t="str">
        <f>ROUND('By site'!BA19*100, 2) &amp; CHAR(10) &amp; "["  &amp; ROUND('By site'!BB19*100, 2) &amp; ", " &amp; ROUND('By site'!BC19*100, 2) &amp; "]"</f>
        <v>4.05
[3.31, 4.85]</v>
      </c>
      <c r="J41" t="str">
        <f>ROUND('By site'!BD19*100, 2) &amp; CHAR(10) &amp; "["  &amp; ROUND('By site'!BE19*100, 2) &amp; ", " &amp; ROUND('By site'!BF19*100, 2) &amp; "]"</f>
        <v>0
[0, 0]</v>
      </c>
      <c r="K41" t="str">
        <f>ROUND('By site'!BG19*100, 2) &amp; CHAR(10) &amp; "["  &amp; ROUND('By site'!BH19*100, 2) &amp; ", " &amp; ROUND('By site'!BI19*100, 2) &amp; "]"</f>
        <v>4.84
[4.52, 5.17]</v>
      </c>
      <c r="N41" t="s">
        <v>105</v>
      </c>
      <c r="O41" t="str">
        <f>ROUND('By site'!BU19*100, 2) &amp; CHAR(10) &amp; "["  &amp; ROUND('By site'!BV19*100, 2) &amp; ", " &amp; ROUND('By site'!BW19*100, 2) &amp; "]"</f>
        <v>0.36
[0.3, 0.43]</v>
      </c>
      <c r="P41" t="str">
        <f>ROUND('By site'!BO19*100, 2) &amp; CHAR(10) &amp; "["  &amp; ROUND('By site'!BP19*100, 2) &amp; ", " &amp; ROUND('By site'!BQ19*100, 2) &amp; "]"</f>
        <v>3.35
[2.78, 4.08]</v>
      </c>
      <c r="Q41" t="str">
        <f>ROUND('By site'!BR19*100, 2) &amp; CHAR(10) &amp; "["  &amp; ROUND('By site'!BS19*100, 2) &amp; ", " &amp; ROUND('By site'!BT19*100, 2) &amp; "]"</f>
        <v>0
[0, 0]</v>
      </c>
      <c r="R41" t="str">
        <f>ROUND('By site'!BX19*100, 2) &amp; CHAR(10) &amp; "["  &amp; ROUND('By site'!BY19*100, 2) &amp; ", " &amp; ROUND('By site'!BZ19*100, 2) &amp; "]"</f>
        <v>3.71
[3.08, 4.51]</v>
      </c>
      <c r="T41" t="s">
        <v>105</v>
      </c>
      <c r="U41" s="3">
        <v>8.4745358461999504E-3</v>
      </c>
      <c r="V41" s="3">
        <v>5.9587925946185498E-3</v>
      </c>
      <c r="W41" s="18">
        <f t="shared" si="1"/>
        <v>0.42219010170842253</v>
      </c>
    </row>
    <row r="42" spans="1:28" x14ac:dyDescent="0.2">
      <c r="A42" t="s">
        <v>129</v>
      </c>
      <c r="B42" t="str">
        <f>ROUND('By site'!S20, 0) &amp; " ["  &amp; ROUND('By site'!T20, 0) &amp; ", " &amp; ROUND('By site'!U20, 0) &amp; "]"</f>
        <v>33 [28, 38]</v>
      </c>
      <c r="C42" s="4">
        <v>5095.6287949732596</v>
      </c>
      <c r="D42" t="str">
        <f>ROUND('By site'!BJ20*100, 2) &amp; " ["  &amp; ROUND('By site'!BM20*100, 2) &amp; ", " &amp; ROUND('By site'!BN20*100, 2) &amp; "]"</f>
        <v>0.65 [0.54, 0.75]</v>
      </c>
      <c r="G42" t="s">
        <v>129</v>
      </c>
      <c r="H42" t="str">
        <f>ROUND('By site'!AX20*100, 2) &amp; CHAR(10) &amp; "["  &amp; ROUND('By site'!AY20*100, 2) &amp; ", " &amp; ROUND('By site'!AZ20*100, 2) &amp; "]"</f>
        <v>0.02
[0.02, 0.03]</v>
      </c>
      <c r="I42" t="str">
        <f>ROUND('By site'!BA20*100, 2) &amp; CHAR(10) &amp; "["  &amp; ROUND('By site'!BB20*100, 2) &amp; ", " &amp; ROUND('By site'!BC20*100, 2) &amp; "]"</f>
        <v>0.38
[0.31, 0.45]</v>
      </c>
      <c r="J42" t="str">
        <f>ROUND('By site'!BD20*100, 2) &amp; CHAR(10) &amp; "["  &amp; ROUND('By site'!BE20*100, 2) &amp; ", " &amp; ROUND('By site'!BF20*100, 2) &amp; "]"</f>
        <v>0
[0, 0]</v>
      </c>
      <c r="K42" t="str">
        <f>ROUND('By site'!BG20*100, 2) &amp; CHAR(10) &amp; "["  &amp; ROUND('By site'!BH20*100, 2) &amp; ", " &amp; ROUND('By site'!BI20*100, 2) &amp; "]"</f>
        <v>0.4
[0.34, 0.47]</v>
      </c>
      <c r="N42" t="s">
        <v>129</v>
      </c>
      <c r="O42" t="str">
        <f>ROUND('By site'!BU20*100, 2) &amp; CHAR(10) &amp; "["  &amp; ROUND('By site'!BV20*100, 2) &amp; ", " &amp; ROUND('By site'!BW20*100, 2) &amp; "]"</f>
        <v>0.18
[0.15, 0.21]</v>
      </c>
      <c r="P42" t="str">
        <f>ROUND('By site'!BO20*100, 2) &amp; CHAR(10) &amp; "["  &amp; ROUND('By site'!BP20*100, 2) &amp; ", " &amp; ROUND('By site'!BQ20*100, 2) &amp; "]"</f>
        <v>0.07
[0.04, 0.1]</v>
      </c>
      <c r="Q42" t="str">
        <f>ROUND('By site'!BR20*100, 2) &amp; CHAR(10) &amp; "["  &amp; ROUND('By site'!BS20*100, 2) &amp; ", " &amp; ROUND('By site'!BT20*100, 2) &amp; "]"</f>
        <v>0
[0, 0]</v>
      </c>
      <c r="R42" t="str">
        <f>ROUND('By site'!BX20*100, 2) &amp; CHAR(10) &amp; "["  &amp; ROUND('By site'!BY20*100, 2) &amp; ", " &amp; ROUND('By site'!BZ20*100, 2) &amp; "]"</f>
        <v>0.24
[0.18, 0.31]</v>
      </c>
      <c r="T42" t="s">
        <v>129</v>
      </c>
      <c r="U42" s="3">
        <v>2.1826676743435814E-4</v>
      </c>
      <c r="V42" s="3">
        <v>3.0734467370106002E-3</v>
      </c>
      <c r="W42" s="18">
        <f t="shared" si="1"/>
        <v>-0.92898306490690763</v>
      </c>
    </row>
    <row r="43" spans="1:28" x14ac:dyDescent="0.2">
      <c r="A43" t="s">
        <v>201</v>
      </c>
      <c r="G43" t="s">
        <v>201</v>
      </c>
      <c r="N43" t="s">
        <v>201</v>
      </c>
    </row>
    <row r="44" spans="1:28" x14ac:dyDescent="0.2">
      <c r="A44" t="s">
        <v>202</v>
      </c>
      <c r="B44" t="str">
        <f>ROUND('By site'!S23, 0) &amp; " ["  &amp; ROUND('By site'!T23, 0) &amp; ", " &amp; ROUND('By site'!U23, 0) &amp; "]"</f>
        <v>709 [669, 751]</v>
      </c>
      <c r="D44" t="str">
        <f>ROUND('By site'!BE23*100, 2) &amp; " ["  &amp; ROUND('By site'!BF23*100, 2) &amp; ", " &amp; ROUND('By site'!BG23*100, 2) &amp; "]"</f>
        <v>2.95 [2.79, 3.13]</v>
      </c>
    </row>
    <row r="46" spans="1:28" x14ac:dyDescent="0.2">
      <c r="A46" s="22" t="s">
        <v>223</v>
      </c>
      <c r="B46" t="s">
        <v>228</v>
      </c>
      <c r="C46" t="s">
        <v>229</v>
      </c>
      <c r="D46" t="s">
        <v>230</v>
      </c>
      <c r="E46" t="s">
        <v>231</v>
      </c>
      <c r="F46" t="s">
        <v>232</v>
      </c>
      <c r="G46" t="s">
        <v>233</v>
      </c>
      <c r="I46" s="22" t="s">
        <v>227</v>
      </c>
      <c r="J46" t="s">
        <v>234</v>
      </c>
      <c r="K46" t="s">
        <v>236</v>
      </c>
      <c r="L46" t="s">
        <v>237</v>
      </c>
      <c r="O46" s="22" t="s">
        <v>235</v>
      </c>
      <c r="P46" t="str" cm="1">
        <f t="array" ref="P46:P65">'By site'!W1:W20</f>
        <v>% SDev of MC iterations</v>
      </c>
      <c r="Q46" t="str" cm="1">
        <f t="array" ref="Q46:Q65">'By site'!AT1:AT20</f>
        <v>SErr of sample mean</v>
      </c>
      <c r="T46" t="s">
        <v>248</v>
      </c>
      <c r="U46" t="s">
        <v>247</v>
      </c>
      <c r="Y46" t="s">
        <v>255</v>
      </c>
      <c r="Z46" t="s">
        <v>253</v>
      </c>
      <c r="AA46" t="s">
        <v>252</v>
      </c>
      <c r="AB46" t="s">
        <v>254</v>
      </c>
    </row>
    <row r="47" spans="1:28" x14ac:dyDescent="0.2">
      <c r="A47" t="s">
        <v>107</v>
      </c>
      <c r="B47" t="str">
        <f>ROUND('By site'!CT2, 1) &amp; CHAR(10) &amp; "["  &amp; ROUND('By site'!CU2, 1) &amp; ", " &amp; ROUND('By site'!CV2, 1) &amp; "]"</f>
        <v>18.5
[15, 27.4]</v>
      </c>
      <c r="C47" t="str">
        <f>ROUND('By site'!CW2, 1) &amp; CHAR(10) &amp; "["  &amp; ROUND('By site'!CX2, 1) &amp; ", " &amp; ROUND('By site'!CY2, 1) &amp; "]"</f>
        <v>7.3
[6.1, 8.6]</v>
      </c>
      <c r="D47" t="str">
        <f>ROUND('By site'!CZ2, 1) &amp; CHAR(10) &amp; "["  &amp; ROUND('By site'!DA2, 1) &amp; ", " &amp; ROUND('By site'!DB2, 1) &amp; "]"</f>
        <v>3.7
[2.9, 5.1]</v>
      </c>
      <c r="E47" t="str">
        <f>ROUND('By site'!DC2, 1) &amp; CHAR(10) &amp; "["  &amp; ROUND('By site'!DD2, 1) &amp; ", " &amp; ROUND('By site'!DE2, 1) &amp; "]"</f>
        <v>0
[0, 0]</v>
      </c>
      <c r="F47" t="str">
        <f>ROUND('By site'!N2, 1) &amp; CHAR(10) &amp; "["  &amp; ROUND('By site'!O2, 1) &amp; ", " &amp; ROUND('By site'!P2, 1) &amp; "]"</f>
        <v>66.4
[58.7, 78]</v>
      </c>
      <c r="G47" s="9">
        <f>'By site'!CT2/'By site'!N2</f>
        <v>0.27899206237570784</v>
      </c>
      <c r="I47" t="s">
        <v>107</v>
      </c>
      <c r="J47" s="23">
        <f>'By site'!CH2/'By site'!S2</f>
        <v>0.81362102729265218</v>
      </c>
      <c r="K47" s="23">
        <f>'By site'!EA2/'By site'!K2</f>
        <v>0.79307480229691385</v>
      </c>
      <c r="L47" s="23">
        <f>'By site'!ED2/('By site'!N2 + 'By site'!Q2 + 'By site'!R2)</f>
        <v>0.84298696979998866</v>
      </c>
      <c r="O47" t="s">
        <v>107</v>
      </c>
      <c r="P47" s="9">
        <v>6.2371522208282501E-2</v>
      </c>
      <c r="Q47" s="2">
        <v>1.9723607130994799E-3</v>
      </c>
      <c r="S47" t="s">
        <v>107</v>
      </c>
      <c r="T47" s="2">
        <f>'By site'!H2/'By site'!S2</f>
        <v>2.5183080011589521E-2</v>
      </c>
      <c r="U47" s="2">
        <f>'By site'!Q2/'By site'!S2</f>
        <v>2.6314921716815785E-2</v>
      </c>
      <c r="Y47" t="s">
        <v>107</v>
      </c>
      <c r="AA47" t="e">
        <f>ROUND('By site'!CQ2, 2) &amp; CHAR(10) &amp; "["  &amp; ROUND('By site'!CR2, 2) &amp; ", " &amp; ROUND('By site'!CS2, 2) &amp; "]"</f>
        <v>#VALUE!</v>
      </c>
      <c r="AB47" s="9" t="e">
        <f>Z47/'By site'!CQ2</f>
        <v>#VALUE!</v>
      </c>
    </row>
    <row r="48" spans="1:28" x14ac:dyDescent="0.2">
      <c r="A48" t="s">
        <v>90</v>
      </c>
      <c r="B48" t="str">
        <f>ROUND('By site'!CT3, 1) &amp; CHAR(10) &amp; "["  &amp; ROUND('By site'!CU3, 1) &amp; ", " &amp; ROUND('By site'!CV3, 1) &amp; "]"</f>
        <v>102.2
[96.2, 109]</v>
      </c>
      <c r="C48" t="str">
        <f>ROUND('By site'!CW3, 1) &amp; CHAR(10) &amp; "["  &amp; ROUND('By site'!CX3, 1) &amp; ", " &amp; ROUND('By site'!CY3, 1) &amp; "]"</f>
        <v>80.7
[74.2, 88.8]</v>
      </c>
      <c r="D48" t="str">
        <f>ROUND('By site'!CZ3, 1) &amp; CHAR(10) &amp; "["  &amp; ROUND('By site'!DA3, 1) &amp; ", " &amp; ROUND('By site'!DB3, 1) &amp; "]"</f>
        <v>29.5
[21.7, 40.2]</v>
      </c>
      <c r="E48" t="str">
        <f>ROUND('By site'!DC3, 1) &amp; CHAR(10) &amp; "["  &amp; ROUND('By site'!DD3, 1) &amp; ", " &amp; ROUND('By site'!DE3, 1) &amp; "]"</f>
        <v>0
[0, 0]</v>
      </c>
      <c r="F48" t="str">
        <f>ROUND('By site'!N3, 1) &amp; CHAR(10) &amp; "["  &amp; ROUND('By site'!O3, 1) &amp; ", " &amp; ROUND('By site'!P3, 1) &amp; "]"</f>
        <v>212.4
[199.6, 226.5]</v>
      </c>
      <c r="G48" s="9">
        <f>'By site'!CT3/'By site'!N3</f>
        <v>0.48124151365208395</v>
      </c>
      <c r="I48" t="s">
        <v>90</v>
      </c>
      <c r="J48" s="23">
        <f>'By site'!CH3/'By site'!S3</f>
        <v>0.80615818194126199</v>
      </c>
      <c r="K48" s="23">
        <f>'By site'!EA3/'By site'!K3</f>
        <v>0.77419900614874582</v>
      </c>
      <c r="L48" s="23">
        <f>'By site'!ED3/('By site'!N3 + 'By site'!Q3 + 'By site'!R3)</f>
        <v>0.84730095374001901</v>
      </c>
      <c r="O48" t="s">
        <v>90</v>
      </c>
      <c r="P48" s="9">
        <v>3.07522212848487E-2</v>
      </c>
      <c r="Q48" s="2">
        <v>9.7247062369631499E-4</v>
      </c>
      <c r="S48" t="s">
        <v>90</v>
      </c>
      <c r="T48" s="2">
        <f>'By site'!H3/'By site'!S3</f>
        <v>0</v>
      </c>
      <c r="U48" s="2">
        <f>'By site'!Q3/'By site'!S3</f>
        <v>0</v>
      </c>
      <c r="Y48" t="s">
        <v>90</v>
      </c>
      <c r="Z48">
        <v>246</v>
      </c>
      <c r="AA48" t="e">
        <f>ROUND('By site'!CQ3, 2) &amp; CHAR(10) &amp; "["  &amp; ROUND('By site'!CR3, 2) &amp; ", " &amp; ROUND('By site'!CS3, 2) &amp; "]"</f>
        <v>#VALUE!</v>
      </c>
      <c r="AB48" s="9" t="e">
        <f>Z48/'By site'!CQ3</f>
        <v>#VALUE!</v>
      </c>
    </row>
    <row r="49" spans="1:28" x14ac:dyDescent="0.2">
      <c r="A49" t="s">
        <v>91</v>
      </c>
      <c r="B49" t="str">
        <f>ROUND('By site'!CT4, 1) &amp; CHAR(10) &amp; "["  &amp; ROUND('By site'!CU4, 1) &amp; ", " &amp; ROUND('By site'!CV4, 1) &amp; "]"</f>
        <v>17.6
[13.2, 22.9]</v>
      </c>
      <c r="C49" t="str">
        <f>ROUND('By site'!CW4, 1) &amp; CHAR(10) &amp; "["  &amp; ROUND('By site'!CX4, 1) &amp; ", " &amp; ROUND('By site'!CY4, 1) &amp; "]"</f>
        <v>33.5
[29.5, 37.8]</v>
      </c>
      <c r="D49" t="str">
        <f>ROUND('By site'!CZ4, 1) &amp; CHAR(10) &amp; "["  &amp; ROUND('By site'!DA4, 1) &amp; ", " &amp; ROUND('By site'!DB4, 1) &amp; "]"</f>
        <v>9.1
[6.7, 11.7]</v>
      </c>
      <c r="E49" t="str">
        <f>ROUND('By site'!DC4, 1) &amp; CHAR(10) &amp; "["  &amp; ROUND('By site'!DD4, 1) &amp; ", " &amp; ROUND('By site'!DE4, 1) &amp; "]"</f>
        <v>0.1
[0, 0.3]</v>
      </c>
      <c r="F49" t="str">
        <f>ROUND('By site'!N4, 1) &amp; CHAR(10) &amp; "["  &amp; ROUND('By site'!O4, 1) &amp; ", " &amp; ROUND('By site'!P4, 1) &amp; "]"</f>
        <v>60.2
[54, 67.8]</v>
      </c>
      <c r="G49" s="9">
        <f>'By site'!CT4/'By site'!N4</f>
        <v>0.29226779602640934</v>
      </c>
      <c r="I49" t="s">
        <v>91</v>
      </c>
      <c r="J49" s="23">
        <f>'By site'!CH4/'By site'!S4</f>
        <v>0.71071600304890503</v>
      </c>
      <c r="K49" s="23">
        <f>'By site'!EA4/'By site'!K4</f>
        <v>0.61880434807543594</v>
      </c>
      <c r="L49" s="23">
        <f>'By site'!ED4/('By site'!N4 + 'By site'!Q4 + 'By site'!R4)</f>
        <v>0.7862847858394989</v>
      </c>
      <c r="O49" t="s">
        <v>91</v>
      </c>
      <c r="P49" s="9">
        <v>5.22822986937043E-2</v>
      </c>
      <c r="Q49" s="2">
        <v>1.65331145181351E-3</v>
      </c>
      <c r="S49" t="s">
        <v>91</v>
      </c>
      <c r="T49" s="2">
        <f>'By site'!H4/'By site'!S4</f>
        <v>0</v>
      </c>
      <c r="U49" s="2">
        <f>'By site'!Q4/'By site'!S4</f>
        <v>0</v>
      </c>
      <c r="Y49" t="s">
        <v>91</v>
      </c>
      <c r="Z49">
        <v>72.3</v>
      </c>
      <c r="AA49" t="e">
        <f>ROUND('By site'!CQ4, 2) &amp; CHAR(10) &amp; "["  &amp; ROUND('By site'!CR4, 2) &amp; ", " &amp; ROUND('By site'!CS4, 2) &amp; "]"</f>
        <v>#VALUE!</v>
      </c>
      <c r="AB49" s="9" t="e">
        <f>Z49/'By site'!CQ4</f>
        <v>#VALUE!</v>
      </c>
    </row>
    <row r="50" spans="1:28" x14ac:dyDescent="0.2">
      <c r="A50" t="s">
        <v>93</v>
      </c>
      <c r="B50" t="str">
        <f>ROUND('By site'!CT5, 1) &amp; CHAR(10) &amp; "["  &amp; ROUND('By site'!CU5, 1) &amp; ", " &amp; ROUND('By site'!CV5, 1) &amp; "]"</f>
        <v>12.9
[11.4, 14.7]</v>
      </c>
      <c r="C50" t="str">
        <f>ROUND('By site'!CW5, 1) &amp; CHAR(10) &amp; "["  &amp; ROUND('By site'!CX5, 1) &amp; ", " &amp; ROUND('By site'!CY5, 1) &amp; "]"</f>
        <v>25.1
[22.3, 28.5]</v>
      </c>
      <c r="D50" t="str">
        <f>ROUND('By site'!CZ5, 1) &amp; CHAR(10) &amp; "["  &amp; ROUND('By site'!DA5, 1) &amp; ", " &amp; ROUND('By site'!DB5, 1) &amp; "]"</f>
        <v>7
[5.5, 8.9]</v>
      </c>
      <c r="E50" t="str">
        <f>ROUND('By site'!DC5, 1) &amp; CHAR(10) &amp; "["  &amp; ROUND('By site'!DD5, 1) &amp; ", " &amp; ROUND('By site'!DE5, 1) &amp; "]"</f>
        <v>0
[0, 0]</v>
      </c>
      <c r="F50" t="str">
        <f>ROUND('By site'!N5, 1) &amp; CHAR(10) &amp; "["  &amp; ROUND('By site'!O5, 1) &amp; ", " &amp; ROUND('By site'!P5, 1) &amp; "]"</f>
        <v>45.1
[41.2, 49.3]</v>
      </c>
      <c r="G50" s="9">
        <f>'By site'!CT5/'By site'!N5</f>
        <v>0.28619594030900902</v>
      </c>
      <c r="I50" t="s">
        <v>93</v>
      </c>
      <c r="J50" s="23">
        <f>'By site'!CH5/'By site'!S5</f>
        <v>0.629671196811738</v>
      </c>
      <c r="K50" s="23">
        <f>'By site'!EA5/'By site'!K5</f>
        <v>0.5802371248652175</v>
      </c>
      <c r="L50" s="23">
        <f>'By site'!ED5/('By site'!N5 + 'By site'!Q5 + 'By site'!R5)</f>
        <v>0.68809596645989157</v>
      </c>
      <c r="O50" t="s">
        <v>93</v>
      </c>
      <c r="P50" s="9">
        <v>4.75317262249925E-2</v>
      </c>
      <c r="Q50" s="2">
        <v>1.50308515990533E-3</v>
      </c>
      <c r="S50" t="s">
        <v>93</v>
      </c>
      <c r="T50" s="2">
        <f>'By site'!H5/'By site'!S5</f>
        <v>0</v>
      </c>
      <c r="U50" s="2">
        <f>'By site'!Q5/'By site'!S5</f>
        <v>0</v>
      </c>
      <c r="Y50" t="s">
        <v>93</v>
      </c>
      <c r="Z50">
        <v>67.7</v>
      </c>
      <c r="AA50" t="e">
        <f>ROUND('By site'!CQ5, 2) &amp; CHAR(10) &amp; "["  &amp; ROUND('By site'!CR5, 2) &amp; ", " &amp; ROUND('By site'!CS5, 2) &amp; "]"</f>
        <v>#VALUE!</v>
      </c>
      <c r="AB50" s="9" t="e">
        <f>Z50/'By site'!CQ5</f>
        <v>#VALUE!</v>
      </c>
    </row>
    <row r="51" spans="1:28" x14ac:dyDescent="0.2">
      <c r="A51" t="s">
        <v>92</v>
      </c>
      <c r="B51" t="str">
        <f>ROUND('By site'!CT6, 1) &amp; CHAR(10) &amp; "["  &amp; ROUND('By site'!CU6, 1) &amp; ", " &amp; ROUND('By site'!CV6, 1) &amp; "]"</f>
        <v>6.9
[6, 7.7]</v>
      </c>
      <c r="C51" t="str">
        <f>ROUND('By site'!CW6, 1) &amp; CHAR(10) &amp; "["  &amp; ROUND('By site'!CX6, 1) &amp; ", " &amp; ROUND('By site'!CY6, 1) &amp; "]"</f>
        <v>27.3
[23.5, 31.5]</v>
      </c>
      <c r="D51" t="str">
        <f>ROUND('By site'!CZ6, 1) &amp; CHAR(10) &amp; "["  &amp; ROUND('By site'!DA6, 1) &amp; ", " &amp; ROUND('By site'!DB6, 1) &amp; "]"</f>
        <v>9.9
[7.4, 13.1]</v>
      </c>
      <c r="E51" t="str">
        <f>ROUND('By site'!DC6, 1) &amp; CHAR(10) &amp; "["  &amp; ROUND('By site'!DD6, 1) &amp; ", " &amp; ROUND('By site'!DE6, 1) &amp; "]"</f>
        <v>0
[0, 0]</v>
      </c>
      <c r="F51" t="str">
        <f>ROUND('By site'!N6, 1) &amp; CHAR(10) &amp; "["  &amp; ROUND('By site'!O6, 1) &amp; ", " &amp; ROUND('By site'!P6, 1) &amp; "]"</f>
        <v>44.1
[39.4, 49.4]</v>
      </c>
      <c r="G51" s="9">
        <f>'By site'!CT6/'By site'!N6</f>
        <v>0.15547817988846038</v>
      </c>
      <c r="I51" t="s">
        <v>92</v>
      </c>
      <c r="J51" s="23">
        <f>'By site'!CH6/'By site'!S6</f>
        <v>0.60497726783431172</v>
      </c>
      <c r="K51" s="23">
        <f>'By site'!EA6/'By site'!K6</f>
        <v>0.54624248970473677</v>
      </c>
      <c r="L51" s="23">
        <f>'By site'!ED6/('By site'!N6 + 'By site'!Q6 + 'By site'!R6)</f>
        <v>0.67319639251083585</v>
      </c>
      <c r="O51" t="s">
        <v>92</v>
      </c>
      <c r="P51" s="9">
        <v>5.5525154643944398E-2</v>
      </c>
      <c r="Q51" s="2">
        <v>1.7558595610794E-3</v>
      </c>
      <c r="S51" t="s">
        <v>92</v>
      </c>
      <c r="T51" s="2">
        <f>'By site'!H6/'By site'!S6</f>
        <v>0</v>
      </c>
      <c r="U51" s="2">
        <f>'By site'!Q6/'By site'!S6</f>
        <v>0</v>
      </c>
      <c r="Y51" t="s">
        <v>92</v>
      </c>
      <c r="Z51">
        <v>71.400000000000006</v>
      </c>
      <c r="AA51" t="e">
        <f>ROUND('By site'!CQ6, 2) &amp; CHAR(10) &amp; "["  &amp; ROUND('By site'!CR6, 2) &amp; ", " &amp; ROUND('By site'!CS6, 2) &amp; "]"</f>
        <v>#VALUE!</v>
      </c>
      <c r="AB51" s="9" t="e">
        <f>Z51/'By site'!CQ6</f>
        <v>#VALUE!</v>
      </c>
    </row>
    <row r="52" spans="1:28" x14ac:dyDescent="0.2">
      <c r="A52" t="s">
        <v>94</v>
      </c>
      <c r="B52" t="str">
        <f>ROUND('By site'!CT7, 1) &amp; CHAR(10) &amp; "["  &amp; ROUND('By site'!CU7, 1) &amp; ", " &amp; ROUND('By site'!CV7, 1) &amp; "]"</f>
        <v>1.9
[1.3, 2.5]</v>
      </c>
      <c r="C52" t="str">
        <f>ROUND('By site'!CW7, 1) &amp; CHAR(10) &amp; "["  &amp; ROUND('By site'!CX7, 1) &amp; ", " &amp; ROUND('By site'!CY7, 1) &amp; "]"</f>
        <v>0
[0, 0]</v>
      </c>
      <c r="D52" t="str">
        <f>ROUND('By site'!CZ7, 1) &amp; CHAR(10) &amp; "["  &amp; ROUND('By site'!DA7, 1) &amp; ", " &amp; ROUND('By site'!DB7, 1) &amp; "]"</f>
        <v>0.8
[0.5, 1.1]</v>
      </c>
      <c r="E52" t="str">
        <f>ROUND('By site'!DC7, 1) &amp; CHAR(10) &amp; "["  &amp; ROUND('By site'!DD7, 1) &amp; ", " &amp; ROUND('By site'!DE7, 1) &amp; "]"</f>
        <v>1.8
[1, 3.2]</v>
      </c>
      <c r="F52" t="str">
        <f>ROUND('By site'!N7, 1) &amp; CHAR(10) &amp; "["  &amp; ROUND('By site'!O7, 1) &amp; ", " &amp; ROUND('By site'!P7, 1) &amp; "]"</f>
        <v>4.8
[3.7, 6.2]</v>
      </c>
      <c r="G52" s="9">
        <f>'By site'!CT7/'By site'!N7</f>
        <v>0.39221312836759359</v>
      </c>
      <c r="I52" t="s">
        <v>94</v>
      </c>
      <c r="J52" s="23">
        <f>'By site'!CH7/'By site'!S7</f>
        <v>0.65499478417322299</v>
      </c>
      <c r="K52" s="23">
        <f>'By site'!EA7/'By site'!K7</f>
        <v>0.48314459455245351</v>
      </c>
      <c r="L52" s="23">
        <f>'By site'!ED7/('By site'!N7 + 'By site'!Q7 + 'By site'!R7)</f>
        <v>0.80066719972228428</v>
      </c>
      <c r="O52" t="s">
        <v>94</v>
      </c>
      <c r="P52" s="9">
        <v>0.100830739644204</v>
      </c>
      <c r="Q52" s="2">
        <v>3.1885479543512E-3</v>
      </c>
      <c r="S52" t="s">
        <v>94</v>
      </c>
      <c r="T52" s="2">
        <f>'By site'!H7/'By site'!S7</f>
        <v>0</v>
      </c>
      <c r="U52" s="2">
        <f>'By site'!Q7/'By site'!S7</f>
        <v>0</v>
      </c>
      <c r="Y52" t="s">
        <v>94</v>
      </c>
      <c r="AA52" t="e">
        <f>ROUND('By site'!CQ7, 2) &amp; CHAR(10) &amp; "["  &amp; ROUND('By site'!CR7, 2) &amp; ", " &amp; ROUND('By site'!CS7, 2) &amp; "]"</f>
        <v>#VALUE!</v>
      </c>
      <c r="AB52" s="9" t="e">
        <f>Z52/'By site'!CQ7</f>
        <v>#VALUE!</v>
      </c>
    </row>
    <row r="53" spans="1:28" x14ac:dyDescent="0.2">
      <c r="A53" t="s">
        <v>95</v>
      </c>
      <c r="B53" t="str">
        <f>ROUND('By site'!CT8, 1) &amp; CHAR(10) &amp; "["  &amp; ROUND('By site'!CU8, 1) &amp; ", " &amp; ROUND('By site'!CV8, 1) &amp; "]"</f>
        <v>2.4
[1.7, 3.3]</v>
      </c>
      <c r="C53" t="str">
        <f>ROUND('By site'!CW8, 1) &amp; CHAR(10) &amp; "["  &amp; ROUND('By site'!CX8, 1) &amp; ", " &amp; ROUND('By site'!CY8, 1) &amp; "]"</f>
        <v>0
[0, 0]</v>
      </c>
      <c r="D53" t="str">
        <f>ROUND('By site'!CZ8, 1) &amp; CHAR(10) &amp; "["  &amp; ROUND('By site'!DA8, 1) &amp; ", " &amp; ROUND('By site'!DB8, 1) &amp; "]"</f>
        <v>0.1
[0.1, 0.5]</v>
      </c>
      <c r="E53" t="str">
        <f>ROUND('By site'!DC8, 1) &amp; CHAR(10) &amp; "["  &amp; ROUND('By site'!DD8, 1) &amp; ", " &amp; ROUND('By site'!DE8, 1) &amp; "]"</f>
        <v>4.2
[3.3, 5.6]</v>
      </c>
      <c r="F53" t="str">
        <f>ROUND('By site'!N8, 1) &amp; CHAR(10) &amp; "["  &amp; ROUND('By site'!O8, 1) &amp; ", " &amp; ROUND('By site'!P8, 1) &amp; "]"</f>
        <v>7.4
[6.2, 8.9]</v>
      </c>
      <c r="G53" s="9">
        <f>'By site'!CT8/'By site'!N8</f>
        <v>0.32358091253596677</v>
      </c>
      <c r="I53" t="s">
        <v>95</v>
      </c>
      <c r="J53" s="23">
        <f>'By site'!CH8/'By site'!S8</f>
        <v>0.75246565601775106</v>
      </c>
      <c r="K53" s="23">
        <f>'By site'!EA8/'By site'!K8</f>
        <v>0.6268177408984088</v>
      </c>
      <c r="L53" s="23">
        <f>'By site'!ED8/('By site'!N8 + 'By site'!Q8 + 'By site'!R8)</f>
        <v>0.85655333806945855</v>
      </c>
      <c r="O53" t="s">
        <v>95</v>
      </c>
      <c r="P53" s="9">
        <v>0.115931816863123</v>
      </c>
      <c r="Q53" s="2">
        <v>3.6660859456898601E-3</v>
      </c>
      <c r="S53" t="s">
        <v>95</v>
      </c>
      <c r="T53" s="2">
        <f>'By site'!H8/'By site'!S8</f>
        <v>0</v>
      </c>
      <c r="U53" s="2">
        <f>'By site'!Q8/'By site'!S8</f>
        <v>0</v>
      </c>
      <c r="Y53" t="s">
        <v>95</v>
      </c>
      <c r="AA53" t="e">
        <f>ROUND('By site'!CQ8, 2) &amp; CHAR(10) &amp; "["  &amp; ROUND('By site'!CR8, 2) &amp; ", " &amp; ROUND('By site'!CS8, 2) &amp; "]"</f>
        <v>#VALUE!</v>
      </c>
      <c r="AB53" s="9" t="e">
        <f>Z53/'By site'!CQ8</f>
        <v>#VALUE!</v>
      </c>
    </row>
    <row r="54" spans="1:28" x14ac:dyDescent="0.2">
      <c r="A54" t="s">
        <v>97</v>
      </c>
      <c r="B54" t="str">
        <f>ROUND('By site'!CT9, 1) &amp; CHAR(10) &amp; "["  &amp; ROUND('By site'!CU9, 1) &amp; ", " &amp; ROUND('By site'!CV9, 1) &amp; "]"</f>
        <v>3.6
[3, 4.2]</v>
      </c>
      <c r="C54" t="str">
        <f>ROUND('By site'!CW9, 1) &amp; CHAR(10) &amp; "["  &amp; ROUND('By site'!CX9, 1) &amp; ", " &amp; ROUND('By site'!CY9, 1) &amp; "]"</f>
        <v>0.5
[0.4, 1.2]</v>
      </c>
      <c r="D54" t="str">
        <f>ROUND('By site'!CZ9, 1) &amp; CHAR(10) &amp; "["  &amp; ROUND('By site'!DA9, 1) &amp; ", " &amp; ROUND('By site'!DB9, 1) &amp; "]"</f>
        <v>0
[0, 0.1]</v>
      </c>
      <c r="E54" t="str">
        <f>ROUND('By site'!DC9, 1) &amp; CHAR(10) &amp; "["  &amp; ROUND('By site'!DD9, 1) &amp; ", " &amp; ROUND('By site'!DE9, 1) &amp; "]"</f>
        <v>0.1
[0, 0.2]</v>
      </c>
      <c r="F54" t="str">
        <f>ROUND('By site'!N9, 1) &amp; CHAR(10) &amp; "["  &amp; ROUND('By site'!O9, 1) &amp; ", " &amp; ROUND('By site'!P9, 1) &amp; "]"</f>
        <v>4.2
[3.5, 5]</v>
      </c>
      <c r="G54" s="9">
        <f>'By site'!CT9/'By site'!N9</f>
        <v>0.85060515040960183</v>
      </c>
      <c r="I54" t="s">
        <v>97</v>
      </c>
      <c r="J54" s="23">
        <f>'By site'!CH9/'By site'!S9</f>
        <v>0.74914983960080972</v>
      </c>
      <c r="K54" s="23">
        <f>'By site'!EA9/'By site'!K9</f>
        <v>0.67877559196013626</v>
      </c>
      <c r="L54" s="23">
        <f>'By site'!ED9/('By site'!N9 + 'By site'!Q9 + 'By site'!R9)</f>
        <v>0.82747134126687638</v>
      </c>
      <c r="O54" t="s">
        <v>97</v>
      </c>
      <c r="P54" s="9">
        <v>0.14375971408469901</v>
      </c>
      <c r="Q54" s="2">
        <v>4.54608132282237E-3</v>
      </c>
      <c r="S54" t="s">
        <v>97</v>
      </c>
      <c r="T54" s="2">
        <f>'By site'!H9/'By site'!S9</f>
        <v>0</v>
      </c>
      <c r="U54" s="2">
        <f>'By site'!Q9/'By site'!S9</f>
        <v>0</v>
      </c>
      <c r="Y54" t="s">
        <v>97</v>
      </c>
      <c r="Z54">
        <v>6.92</v>
      </c>
      <c r="AA54" t="e">
        <f>ROUND('By site'!CQ9, 2) &amp; CHAR(10) &amp; "["  &amp; ROUND('By site'!CR9, 2) &amp; ", " &amp; ROUND('By site'!CS9, 2) &amp; "]"</f>
        <v>#VALUE!</v>
      </c>
      <c r="AB54" s="9" t="e">
        <f>Z54/'By site'!CQ9</f>
        <v>#VALUE!</v>
      </c>
    </row>
    <row r="55" spans="1:28" x14ac:dyDescent="0.2">
      <c r="A55" t="s">
        <v>96</v>
      </c>
      <c r="B55" t="str">
        <f>ROUND('By site'!CT10, 1) &amp; CHAR(10) &amp; "["  &amp; ROUND('By site'!CU10, 1) &amp; ", " &amp; ROUND('By site'!CV10, 1) &amp; "]"</f>
        <v>2.9
[2.2, 3.8]</v>
      </c>
      <c r="C55" t="str">
        <f>ROUND('By site'!CW10, 1) &amp; CHAR(10) &amp; "["  &amp; ROUND('By site'!CX10, 1) &amp; ", " &amp; ROUND('By site'!CY10, 1) &amp; "]"</f>
        <v>0.7
[0.4, 1.7]</v>
      </c>
      <c r="D55" t="str">
        <f>ROUND('By site'!CZ10, 1) &amp; CHAR(10) &amp; "["  &amp; ROUND('By site'!DA10, 1) &amp; ", " &amp; ROUND('By site'!DB10, 1) &amp; "]"</f>
        <v>0.2
[0.2, 0.3]</v>
      </c>
      <c r="E55" t="str">
        <f>ROUND('By site'!DC10, 1) &amp; CHAR(10) &amp; "["  &amp; ROUND('By site'!DD10, 1) &amp; ", " &amp; ROUND('By site'!DE10, 1) &amp; "]"</f>
        <v>0
[0, 0]</v>
      </c>
      <c r="F55" t="str">
        <f>ROUND('By site'!N10, 1) &amp; CHAR(10) &amp; "["  &amp; ROUND('By site'!O10, 1) &amp; ", " &amp; ROUND('By site'!P10, 1) &amp; "]"</f>
        <v>3.8
[3, 5.1]</v>
      </c>
      <c r="G55" s="9">
        <f>'By site'!CT10/'By site'!N10</f>
        <v>0.76149689555704481</v>
      </c>
      <c r="I55" t="s">
        <v>96</v>
      </c>
      <c r="J55" s="23">
        <f>'By site'!CH10/'By site'!S10</f>
        <v>0.69473354918880115</v>
      </c>
      <c r="K55" s="23">
        <f>'By site'!EA10/'By site'!K10</f>
        <v>0.57599450526566942</v>
      </c>
      <c r="L55" s="23">
        <f>'By site'!ED10/('By site'!N10 + 'By site'!Q10 + 'By site'!R10)</f>
        <v>0.80578364165789651</v>
      </c>
      <c r="O55" t="s">
        <v>96</v>
      </c>
      <c r="P55" s="9">
        <v>0.19681256083967899</v>
      </c>
      <c r="Q55" s="2">
        <v>6.2237596438384597E-3</v>
      </c>
      <c r="S55" t="s">
        <v>96</v>
      </c>
      <c r="T55" s="2">
        <f>'By site'!H10/'By site'!S10</f>
        <v>0</v>
      </c>
      <c r="U55" s="2">
        <f>'By site'!Q10/'By site'!S10</f>
        <v>0</v>
      </c>
      <c r="Y55" t="s">
        <v>96</v>
      </c>
      <c r="Z55">
        <v>5.56</v>
      </c>
      <c r="AA55" t="e">
        <f>ROUND('By site'!CQ10, 2) &amp; CHAR(10) &amp; "["  &amp; ROUND('By site'!CR10, 2) &amp; ", " &amp; ROUND('By site'!CS10, 2) &amp; "]"</f>
        <v>#VALUE!</v>
      </c>
      <c r="AB55" s="9" t="e">
        <f>Z55/'By site'!CQ10</f>
        <v>#VALUE!</v>
      </c>
    </row>
    <row r="56" spans="1:28" x14ac:dyDescent="0.2">
      <c r="A56" t="s">
        <v>98</v>
      </c>
      <c r="B56" t="str">
        <f>ROUND('By site'!CT11, 1) &amp; CHAR(10) &amp; "["  &amp; ROUND('By site'!CU11, 1) &amp; ", " &amp; ROUND('By site'!CV11, 1) &amp; "]"</f>
        <v>0.5
[0.4, 0.8]</v>
      </c>
      <c r="C56" t="str">
        <f>ROUND('By site'!CW11, 1) &amp; CHAR(10) &amp; "["  &amp; ROUND('By site'!CX11, 1) &amp; ", " &amp; ROUND('By site'!CY11, 1) &amp; "]"</f>
        <v>0.3
[0.1, 0.4]</v>
      </c>
      <c r="D56" t="str">
        <f>ROUND('By site'!CZ11, 1) &amp; CHAR(10) &amp; "["  &amp; ROUND('By site'!DA11, 1) &amp; ", " &amp; ROUND('By site'!DB11, 1) &amp; "]"</f>
        <v>0
[0, 0]</v>
      </c>
      <c r="E56" t="str">
        <f>ROUND('By site'!DC11, 1) &amp; CHAR(10) &amp; "["  &amp; ROUND('By site'!DD11, 1) &amp; ", " &amp; ROUND('By site'!DE11, 1) &amp; "]"</f>
        <v>0
[0, 0]</v>
      </c>
      <c r="F56" t="str">
        <f>ROUND('By site'!N11, 1) &amp; CHAR(10) &amp; "["  &amp; ROUND('By site'!O11, 1) &amp; ", " &amp; ROUND('By site'!P11, 1) &amp; "]"</f>
        <v>0.8
[0.5, 1]</v>
      </c>
      <c r="G56" s="9">
        <f>'By site'!CT11/'By site'!N11</f>
        <v>0.6792269743408067</v>
      </c>
      <c r="I56" t="s">
        <v>98</v>
      </c>
      <c r="J56" s="23">
        <f>'By site'!CH11/'By site'!S11</f>
        <v>0.50521826028776062</v>
      </c>
      <c r="K56" s="23">
        <f>'By site'!EA11/'By site'!K11</f>
        <v>0.50484644138520862</v>
      </c>
      <c r="L56" s="23">
        <f>'By site'!ED11/('By site'!N11 + 'By site'!Q11 + 'By site'!R11)</f>
        <v>0.51253504130949867</v>
      </c>
      <c r="O56" t="s">
        <v>98</v>
      </c>
      <c r="P56" s="9">
        <v>0.11192146459737499</v>
      </c>
      <c r="Q56" s="2">
        <v>3.53926747189605E-3</v>
      </c>
      <c r="S56" t="s">
        <v>98</v>
      </c>
      <c r="T56" s="2">
        <f>'By site'!H11/'By site'!S11</f>
        <v>0</v>
      </c>
      <c r="U56" s="2">
        <f>'By site'!Q11/'By site'!S11</f>
        <v>0</v>
      </c>
      <c r="Y56" t="s">
        <v>98</v>
      </c>
      <c r="Z56">
        <v>2.17</v>
      </c>
      <c r="AA56" t="e">
        <f>ROUND('By site'!CQ11, 2) &amp; CHAR(10) &amp; "["  &amp; ROUND('By site'!CR11, 2) &amp; ", " &amp; ROUND('By site'!CS11, 2) &amp; "]"</f>
        <v>#VALUE!</v>
      </c>
      <c r="AB56" s="9" t="e">
        <f>Z56/'By site'!CQ11</f>
        <v>#VALUE!</v>
      </c>
    </row>
    <row r="57" spans="1:28" x14ac:dyDescent="0.2">
      <c r="A57" t="s">
        <v>99</v>
      </c>
      <c r="B57" t="str">
        <f>ROUND('By site'!CT12, 1) &amp; CHAR(10) &amp; "["  &amp; ROUND('By site'!CU12, 1) &amp; ", " &amp; ROUND('By site'!CV12, 1) &amp; "]"</f>
        <v>0.2
[0.1, 0.4]</v>
      </c>
      <c r="C57" t="str">
        <f>ROUND('By site'!CW12, 1) &amp; CHAR(10) &amp; "["  &amp; ROUND('By site'!CX12, 1) &amp; ", " &amp; ROUND('By site'!CY12, 1) &amp; "]"</f>
        <v>0.3
[0.1, 0.4]</v>
      </c>
      <c r="D57" t="str">
        <f>ROUND('By site'!CZ12, 1) &amp; CHAR(10) &amp; "["  &amp; ROUND('By site'!DA12, 1) &amp; ", " &amp; ROUND('By site'!DB12, 1) &amp; "]"</f>
        <v>0.2
[0.1, 0.5]</v>
      </c>
      <c r="E57" t="str">
        <f>ROUND('By site'!DC12, 1) &amp; CHAR(10) &amp; "["  &amp; ROUND('By site'!DD12, 1) &amp; ", " &amp; ROUND('By site'!DE12, 1) &amp; "]"</f>
        <v>0
[0, 0]</v>
      </c>
      <c r="F57" t="str">
        <f>ROUND('By site'!N12, 1) &amp; CHAR(10) &amp; "["  &amp; ROUND('By site'!O12, 1) &amp; ", " &amp; ROUND('By site'!P12, 1) &amp; "]"</f>
        <v>0.7
[0.5, 1]</v>
      </c>
      <c r="G57" s="9">
        <f>'By site'!CT12/'By site'!N12</f>
        <v>0.30814173317390553</v>
      </c>
      <c r="I57" t="s">
        <v>99</v>
      </c>
      <c r="J57" s="23">
        <f>'By site'!CH12/'By site'!S12</f>
        <v>0.13815891793085466</v>
      </c>
      <c r="K57" s="23">
        <f>'By site'!EA12/'By site'!K12</f>
        <v>0.15955366937121263</v>
      </c>
      <c r="L57" s="23">
        <f>'By site'!ED12/('By site'!N12 + 'By site'!Q12 + 'By site'!R12)</f>
        <v>9.9741986779325498E-2</v>
      </c>
      <c r="O57" t="s">
        <v>99</v>
      </c>
      <c r="P57" s="9">
        <v>4.6460141740188803E-2</v>
      </c>
      <c r="Q57" s="2">
        <v>1.46919868313255E-3</v>
      </c>
      <c r="S57" t="s">
        <v>99</v>
      </c>
      <c r="T57" s="2">
        <f>'By site'!H12/'By site'!S12</f>
        <v>0</v>
      </c>
      <c r="U57" s="2">
        <f>'By site'!Q12/'By site'!S12</f>
        <v>0</v>
      </c>
      <c r="Y57" t="s">
        <v>99</v>
      </c>
      <c r="Z57">
        <v>2.54</v>
      </c>
      <c r="AA57" t="e">
        <f>ROUND('By site'!CQ12, 2) &amp; CHAR(10) &amp; "["  &amp; ROUND('By site'!CR12, 2) &amp; ", " &amp; ROUND('By site'!CS12, 2) &amp; "]"</f>
        <v>#VALUE!</v>
      </c>
      <c r="AB57" s="9" t="e">
        <f>Z57/'By site'!CQ12</f>
        <v>#VALUE!</v>
      </c>
    </row>
    <row r="58" spans="1:28" x14ac:dyDescent="0.2">
      <c r="A58" t="s">
        <v>100</v>
      </c>
      <c r="B58" t="str">
        <f>ROUND('By site'!CT13, 1) &amp; CHAR(10) &amp; "["  &amp; ROUND('By site'!CU13, 1) &amp; ", " &amp; ROUND('By site'!CV13, 1) &amp; "]"</f>
        <v>1.1
[0.7, 2.8]</v>
      </c>
      <c r="C58" t="str">
        <f>ROUND('By site'!CW13, 1) &amp; CHAR(10) &amp; "["  &amp; ROUND('By site'!CX13, 1) &amp; ", " &amp; ROUND('By site'!CY13, 1) &amp; "]"</f>
        <v>0.8
[0.5, 1.1]</v>
      </c>
      <c r="D58" t="str">
        <f>ROUND('By site'!CZ13, 1) &amp; CHAR(10) &amp; "["  &amp; ROUND('By site'!DA13, 1) &amp; ", " &amp; ROUND('By site'!DB13, 1) &amp; "]"</f>
        <v>0.4
[0.2, 0.7]</v>
      </c>
      <c r="E58" t="str">
        <f>ROUND('By site'!DC13, 1) &amp; CHAR(10) &amp; "["  &amp; ROUND('By site'!DD13, 1) &amp; ", " &amp; ROUND('By site'!DE13, 1) &amp; "]"</f>
        <v>0
[0, 0]</v>
      </c>
      <c r="F58" t="str">
        <f>ROUND('By site'!N13, 1) &amp; CHAR(10) &amp; "["  &amp; ROUND('By site'!O13, 1) &amp; ", " &amp; ROUND('By site'!P13, 1) &amp; "]"</f>
        <v>2.3
[1.5, 4.1]</v>
      </c>
      <c r="G58" s="9">
        <f>'By site'!CT13/'By site'!N13</f>
        <v>0.4945930300918126</v>
      </c>
      <c r="I58" t="s">
        <v>100</v>
      </c>
      <c r="J58" s="23">
        <f>'By site'!CH13/'By site'!S13</f>
        <v>0.19980612057419284</v>
      </c>
      <c r="K58" s="23">
        <f>'By site'!EA13/'By site'!K13</f>
        <v>0.16122123645689598</v>
      </c>
      <c r="L58" s="23">
        <f>'By site'!ED13/('By site'!N13 + 'By site'!Q13 + 'By site'!R13)</f>
        <v>0.27365888081452827</v>
      </c>
      <c r="O58" t="s">
        <v>100</v>
      </c>
      <c r="P58" s="9">
        <v>8.9241130402885796E-2</v>
      </c>
      <c r="Q58" s="2">
        <v>2.82205233041219E-3</v>
      </c>
      <c r="S58" t="s">
        <v>100</v>
      </c>
      <c r="T58" s="2">
        <f>'By site'!H13/'By site'!S13</f>
        <v>0</v>
      </c>
      <c r="U58" s="2">
        <f>'By site'!Q13/'By site'!S13</f>
        <v>0</v>
      </c>
      <c r="Y58" t="s">
        <v>100</v>
      </c>
      <c r="Z58">
        <v>4.25</v>
      </c>
      <c r="AA58" t="e">
        <f>ROUND('By site'!CQ13, 2) &amp; CHAR(10) &amp; "["  &amp; ROUND('By site'!CR13, 2) &amp; ", " &amp; ROUND('By site'!CS13, 2) &amp; "]"</f>
        <v>#VALUE!</v>
      </c>
      <c r="AB58" s="9" t="e">
        <f>Z58/'By site'!CQ13</f>
        <v>#VALUE!</v>
      </c>
    </row>
    <row r="59" spans="1:28" x14ac:dyDescent="0.2">
      <c r="A59" t="s">
        <v>101</v>
      </c>
      <c r="B59" t="str">
        <f>ROUND('By site'!CT14, 1) &amp; CHAR(10) &amp; "["  &amp; ROUND('By site'!CU14, 1) &amp; ", " &amp; ROUND('By site'!CV14, 1) &amp; "]"</f>
        <v>1.4
[0.5, 2.4]</v>
      </c>
      <c r="C59" t="str">
        <f>ROUND('By site'!CW14, 1) &amp; CHAR(10) &amp; "["  &amp; ROUND('By site'!CX14, 1) &amp; ", " &amp; ROUND('By site'!CY14, 1) &amp; "]"</f>
        <v>6.4
[4.5, 8.4]</v>
      </c>
      <c r="D59" t="str">
        <f>ROUND('By site'!CZ14, 1) &amp; CHAR(10) &amp; "["  &amp; ROUND('By site'!DA14, 1) &amp; ", " &amp; ROUND('By site'!DB14, 1) &amp; "]"</f>
        <v>0.1
[0, 0.4]</v>
      </c>
      <c r="E59" t="str">
        <f>ROUND('By site'!DC14, 1) &amp; CHAR(10) &amp; "["  &amp; ROUND('By site'!DD14, 1) &amp; ", " &amp; ROUND('By site'!DE14, 1) &amp; "]"</f>
        <v>0
[0, 0]</v>
      </c>
      <c r="F59" t="str">
        <f>ROUND('By site'!N14, 1) &amp; CHAR(10) &amp; "["  &amp; ROUND('By site'!O14, 1) &amp; ", " &amp; ROUND('By site'!P14, 1) &amp; "]"</f>
        <v>7.9
[5.7, 10.2]</v>
      </c>
      <c r="G59" s="9">
        <f>'By site'!CT14/'By site'!N14</f>
        <v>0.17572753137611893</v>
      </c>
      <c r="I59" t="s">
        <v>101</v>
      </c>
      <c r="J59" s="23">
        <f>'By site'!CH14/'By site'!S14</f>
        <v>0.60713368428189063</v>
      </c>
      <c r="K59" s="23">
        <f>'By site'!EA14/'By site'!K14</f>
        <v>0.76376284152560903</v>
      </c>
      <c r="L59" s="23">
        <f>'By site'!ED14/('By site'!N14 + 'By site'!Q14 + 'By site'!R14)</f>
        <v>0.30227931623496845</v>
      </c>
      <c r="O59" t="s">
        <v>101</v>
      </c>
      <c r="P59" s="9">
        <v>5.79251341012283E-2</v>
      </c>
      <c r="Q59" s="2">
        <v>1.8317535753057199E-3</v>
      </c>
      <c r="S59" t="s">
        <v>101</v>
      </c>
      <c r="T59" s="2">
        <f>'By site'!H14/'By site'!S14</f>
        <v>0</v>
      </c>
      <c r="U59" s="2">
        <f>'By site'!Q14/'By site'!S14</f>
        <v>0</v>
      </c>
      <c r="Y59" t="s">
        <v>101</v>
      </c>
      <c r="AA59" t="e">
        <f>ROUND('By site'!CQ14, 2) &amp; CHAR(10) &amp; "["  &amp; ROUND('By site'!CR14, 2) &amp; ", " &amp; ROUND('By site'!CS14, 2) &amp; "]"</f>
        <v>#VALUE!</v>
      </c>
      <c r="AB59" s="9" t="e">
        <f>Z66/'By site'!CQ14</f>
        <v>#VALUE!</v>
      </c>
    </row>
    <row r="60" spans="1:28" x14ac:dyDescent="0.2">
      <c r="A60" t="s">
        <v>89</v>
      </c>
      <c r="B60" t="str">
        <f>ROUND('By site'!CT15, 1) &amp; CHAR(10) &amp; "["  &amp; ROUND('By site'!CU15, 1) &amp; ", " &amp; ROUND('By site'!CV15, 1) &amp; "]"</f>
        <v>1.8
[1.3, 2.4]</v>
      </c>
      <c r="C60" t="str">
        <f>ROUND('By site'!CW15, 1) &amp; CHAR(10) &amp; "["  &amp; ROUND('By site'!CX15, 1) &amp; ", " &amp; ROUND('By site'!CY15, 1) &amp; "]"</f>
        <v>0.3
[0.2, 0.4]</v>
      </c>
      <c r="D60" t="str">
        <f>ROUND('By site'!CZ15, 1) &amp; CHAR(10) &amp; "["  &amp; ROUND('By site'!DA15, 1) &amp; ", " &amp; ROUND('By site'!DB15, 1) &amp; "]"</f>
        <v>0.3
[0.1, 0.8]</v>
      </c>
      <c r="E60" t="str">
        <f>ROUND('By site'!DC15, 1) &amp; CHAR(10) &amp; "["  &amp; ROUND('By site'!DD15, 1) &amp; ", " &amp; ROUND('By site'!DE15, 1) &amp; "]"</f>
        <v>0
[0, 0]</v>
      </c>
      <c r="F60" t="str">
        <f>ROUND('By site'!N15, 1) &amp; CHAR(10) &amp; "["  &amp; ROUND('By site'!O15, 1) &amp; ", " &amp; ROUND('By site'!P15, 1) &amp; "]"</f>
        <v>2.4
[1.7, 3.2]</v>
      </c>
      <c r="G60" s="9">
        <f>'By site'!CT15/'By site'!N15</f>
        <v>0.76645241829519017</v>
      </c>
      <c r="I60" t="s">
        <v>89</v>
      </c>
      <c r="J60" s="23">
        <f>'By site'!CH15/'By site'!S15</f>
        <v>0.41054718609067309</v>
      </c>
      <c r="K60" s="23">
        <f>'By site'!EA15/'By site'!K15</f>
        <v>0.36715286669787933</v>
      </c>
      <c r="L60" s="23">
        <f>'By site'!ED15/('By site'!N15 + 'By site'!Q15 + 'By site'!R15)</f>
        <v>0.64089168171342104</v>
      </c>
      <c r="O60" t="s">
        <v>89</v>
      </c>
      <c r="P60" s="9">
        <v>6.9309833552710004E-2</v>
      </c>
      <c r="Q60" s="2">
        <v>2.19176938273724E-3</v>
      </c>
      <c r="S60" t="s">
        <v>89</v>
      </c>
      <c r="T60" s="2">
        <f>'By site'!H15/'By site'!S15</f>
        <v>0</v>
      </c>
      <c r="U60" s="2">
        <f>'By site'!Q15/'By site'!S15</f>
        <v>0</v>
      </c>
      <c r="Y60" t="s">
        <v>89</v>
      </c>
      <c r="Z60">
        <v>6.13</v>
      </c>
      <c r="AA60" t="e">
        <f>ROUND('By site'!CQ15, 2) &amp; CHAR(10) &amp; "["  &amp; ROUND('By site'!CR15, 2) &amp; ", " &amp; ROUND('By site'!CS15, 2) &amp; "]"</f>
        <v>#VALUE!</v>
      </c>
      <c r="AB60" s="9" t="e">
        <f>Z60/'By site'!CQ15</f>
        <v>#VALUE!</v>
      </c>
    </row>
    <row r="61" spans="1:28" x14ac:dyDescent="0.2">
      <c r="A61" t="s">
        <v>102</v>
      </c>
      <c r="B61" t="str">
        <f>ROUND('By site'!CT16, 1) &amp; CHAR(10) &amp; "["  &amp; ROUND('By site'!CU16, 1) &amp; ", " &amp; ROUND('By site'!CV16, 1) &amp; "]"</f>
        <v>0.7
[0.5, 0.8]</v>
      </c>
      <c r="C61" t="str">
        <f>ROUND('By site'!CW16, 1) &amp; CHAR(10) &amp; "["  &amp; ROUND('By site'!CX16, 1) &amp; ", " &amp; ROUND('By site'!CY16, 1) &amp; "]"</f>
        <v>0.6
[0.4, 0.9]</v>
      </c>
      <c r="D61" t="str">
        <f>ROUND('By site'!CZ16, 1) &amp; CHAR(10) &amp; "["  &amp; ROUND('By site'!DA16, 1) &amp; ", " &amp; ROUND('By site'!DB16, 1) &amp; "]"</f>
        <v>0.4
[0.2, 0.6]</v>
      </c>
      <c r="E61" t="e">
        <f>ROUND('By site'!DC16, 1) &amp; CHAR(10) &amp; "["  &amp; ROUND('By site'!DD16, 1) &amp; ", " &amp; ROUND('By site'!DE16, 1) &amp; "]"</f>
        <v>#VALUE!</v>
      </c>
      <c r="F61" t="str">
        <f>ROUND('By site'!N16, 1) &amp; CHAR(10) &amp; "["  &amp; ROUND('By site'!O16, 1) &amp; ", " &amp; ROUND('By site'!P16, 1) &amp; "]"</f>
        <v>1.7
[1.4, 2.1]</v>
      </c>
      <c r="G61" s="9">
        <f>'By site'!CT16/'By site'!N16</f>
        <v>0.39890299285307096</v>
      </c>
      <c r="I61" t="s">
        <v>102</v>
      </c>
      <c r="J61" s="23">
        <f>'By site'!CH16/'By site'!S16</f>
        <v>0.55316501081597447</v>
      </c>
      <c r="K61" s="23">
        <f>'By site'!EA16/'By site'!K16</f>
        <v>0.65125413138546839</v>
      </c>
      <c r="L61" s="23">
        <f>'By site'!ED16/('By site'!N16 + 'By site'!Q16 + 'By site'!R16)</f>
        <v>0.29530829870142183</v>
      </c>
      <c r="O61" t="s">
        <v>102</v>
      </c>
      <c r="P61" s="9">
        <v>5.8670258677679298E-2</v>
      </c>
      <c r="Q61" s="2">
        <v>1.8553164833272501E-3</v>
      </c>
      <c r="S61" t="s">
        <v>102</v>
      </c>
      <c r="T61" s="2">
        <f>'By site'!H16/'By site'!S16</f>
        <v>9.7215726302605138E-2</v>
      </c>
      <c r="U61" s="2">
        <f>'By site'!Q16/'By site'!S16</f>
        <v>8.8914702796113465E-2</v>
      </c>
      <c r="Y61" t="s">
        <v>102</v>
      </c>
      <c r="AA61" t="e">
        <f>ROUND('By site'!CQ16, 2) &amp; CHAR(10) &amp; "["  &amp; ROUND('By site'!CR16, 2) &amp; ", " &amp; ROUND('By site'!CS16, 2) &amp; "]"</f>
        <v>#VALUE!</v>
      </c>
      <c r="AB61" s="9" t="e">
        <f>Z61/'By site'!CQ16</f>
        <v>#VALUE!</v>
      </c>
    </row>
    <row r="62" spans="1:28" x14ac:dyDescent="0.2">
      <c r="A62" t="s">
        <v>103</v>
      </c>
      <c r="B62" t="str">
        <f>ROUND('By site'!CT17, 1) &amp; CHAR(10) &amp; "["  &amp; ROUND('By site'!CU17, 1) &amp; ", " &amp; ROUND('By site'!CV17, 1) &amp; "]"</f>
        <v>22.4
[20.2, 25]</v>
      </c>
      <c r="C62" t="str">
        <f>ROUND('By site'!CW17, 1) &amp; CHAR(10) &amp; "["  &amp; ROUND('By site'!CX17, 1) &amp; ", " &amp; ROUND('By site'!CY17, 1) &amp; "]"</f>
        <v>34.8
[31.2, 39.5]</v>
      </c>
      <c r="D62" t="str">
        <f>ROUND('By site'!CZ17, 1) &amp; CHAR(10) &amp; "["  &amp; ROUND('By site'!DA17, 1) &amp; ", " &amp; ROUND('By site'!DB17, 1) &amp; "]"</f>
        <v>18.4
[13.7, 24.8]</v>
      </c>
      <c r="E62" t="str">
        <f>ROUND('By site'!DC17, 1) &amp; CHAR(10) &amp; "["  &amp; ROUND('By site'!DD17, 1) &amp; ", " &amp; ROUND('By site'!DE17, 1) &amp; "]"</f>
        <v>0
[0, 0]</v>
      </c>
      <c r="F62" t="str">
        <f>ROUND('By site'!N17, 1) &amp; CHAR(10) &amp; "["  &amp; ROUND('By site'!O17, 1) &amp; ", " &amp; ROUND('By site'!P17, 1) &amp; "]"</f>
        <v>75.6
[68.8, 83.9]</v>
      </c>
      <c r="G62" s="9">
        <f>'By site'!CT17/'By site'!N17</f>
        <v>0.29597748198499302</v>
      </c>
      <c r="I62" t="s">
        <v>103</v>
      </c>
      <c r="J62" s="23">
        <f>'By site'!CH17/'By site'!S17</f>
        <v>0.82024053436832622</v>
      </c>
      <c r="K62" s="23">
        <f>'By site'!EA17/'By site'!K17</f>
        <v>0.82544314015699416</v>
      </c>
      <c r="L62" s="23">
        <f>'By site'!ED17/('By site'!N17 + 'By site'!Q17 + 'By site'!R17)</f>
        <v>0.81382158032721885</v>
      </c>
      <c r="O62" t="s">
        <v>103</v>
      </c>
      <c r="P62" s="9">
        <v>6.6276662746927006E-2</v>
      </c>
      <c r="Q62" s="2">
        <v>2.0958520999512101E-3</v>
      </c>
      <c r="S62" t="s">
        <v>103</v>
      </c>
      <c r="T62" s="2">
        <f>'By site'!H17/'By site'!S17</f>
        <v>0</v>
      </c>
      <c r="U62" s="2">
        <f>'By site'!Q17/'By site'!S17</f>
        <v>0</v>
      </c>
      <c r="Y62" t="s">
        <v>103</v>
      </c>
      <c r="AA62" t="e">
        <f>ROUND('By site'!CQ17, 2) &amp; CHAR(10) &amp; "["  &amp; ROUND('By site'!CR17, 2) &amp; ", " &amp; ROUND('By site'!CS17, 2) &amp; "]"</f>
        <v>#VALUE!</v>
      </c>
      <c r="AB62" s="9" t="e">
        <f>Z62/'By site'!CQ17</f>
        <v>#VALUE!</v>
      </c>
    </row>
    <row r="63" spans="1:28" x14ac:dyDescent="0.2">
      <c r="A63" t="s">
        <v>104</v>
      </c>
      <c r="B63" t="str">
        <f>ROUND('By site'!CT18, 1) &amp; CHAR(10) &amp; "["  &amp; ROUND('By site'!CU18, 1) &amp; ", " &amp; ROUND('By site'!CV18, 1) &amp; "]"</f>
        <v>9.5
[8, 11.6]</v>
      </c>
      <c r="C63" t="str">
        <f>ROUND('By site'!CW18, 1) &amp; CHAR(10) &amp; "["  &amp; ROUND('By site'!CX18, 1) &amp; ", " &amp; ROUND('By site'!CY18, 1) &amp; "]"</f>
        <v>24.1
[21.9, 26.7]</v>
      </c>
      <c r="D63" t="str">
        <f>ROUND('By site'!CZ18, 1) &amp; CHAR(10) &amp; "["  &amp; ROUND('By site'!DA18, 1) &amp; ", " &amp; ROUND('By site'!DB18, 1) &amp; "]"</f>
        <v>3.6
[2.7, 7]</v>
      </c>
      <c r="E63" t="str">
        <f>ROUND('By site'!DC18, 1) &amp; CHAR(10) &amp; "["  &amp; ROUND('By site'!DD18, 1) &amp; ", " &amp; ROUND('By site'!DE18, 1) &amp; "]"</f>
        <v>0
[0, 0]</v>
      </c>
      <c r="F63" t="str">
        <f>ROUND('By site'!N18, 1) &amp; CHAR(10) &amp; "["  &amp; ROUND('By site'!O18, 1) &amp; ", " &amp; ROUND('By site'!P18, 1) &amp; "]"</f>
        <v>37.2
[33.9, 41.4]</v>
      </c>
      <c r="G63" s="9">
        <f>'By site'!CT18/'By site'!N18</f>
        <v>0.25543802974123064</v>
      </c>
      <c r="I63" t="s">
        <v>104</v>
      </c>
      <c r="J63" s="23">
        <f>'By site'!CH18/'By site'!S18</f>
        <v>0.78077232982133715</v>
      </c>
      <c r="K63" s="23">
        <f>'By site'!EA18/'By site'!K18</f>
        <v>0.81099451797531674</v>
      </c>
      <c r="L63" s="23">
        <f>'By site'!ED18/('By site'!N18 + 'By site'!Q18 + 'By site'!R18)</f>
        <v>0.7387944781966912</v>
      </c>
      <c r="O63" t="s">
        <v>104</v>
      </c>
      <c r="P63" s="9">
        <v>8.2255993280111295E-2</v>
      </c>
      <c r="Q63" s="2">
        <v>2.6011628996465601E-3</v>
      </c>
      <c r="S63" t="s">
        <v>104</v>
      </c>
      <c r="T63" s="2">
        <f>'By site'!H18/'By site'!S18</f>
        <v>0</v>
      </c>
      <c r="U63" s="2">
        <f>'By site'!Q18/'By site'!S18</f>
        <v>0</v>
      </c>
      <c r="Y63" t="s">
        <v>104</v>
      </c>
      <c r="AA63" t="e">
        <f>ROUND('By site'!CQ18, 2) &amp; CHAR(10) &amp; "["  &amp; ROUND('By site'!CR18, 2) &amp; ", " &amp; ROUND('By site'!CS18, 2) &amp; "]"</f>
        <v>#VALUE!</v>
      </c>
      <c r="AB63" s="9" t="e">
        <f>Z63/'By site'!CQ18</f>
        <v>#VALUE!</v>
      </c>
    </row>
    <row r="64" spans="1:28" x14ac:dyDescent="0.2">
      <c r="A64" t="s">
        <v>105</v>
      </c>
      <c r="B64" t="str">
        <f>ROUND('By site'!CT19, 1) &amp; CHAR(10) &amp; "["  &amp; ROUND('By site'!CU19, 1) &amp; ", " &amp; ROUND('By site'!CV19, 1) &amp; "]"</f>
        <v>12.8
[11.3, 14.3]</v>
      </c>
      <c r="C64" t="str">
        <f>ROUND('By site'!CW19, 1) &amp; CHAR(10) &amp; "["  &amp; ROUND('By site'!CX19, 1) &amp; ", " &amp; ROUND('By site'!CY19, 1) &amp; "]"</f>
        <v>10.8
[8.3, 15.4]</v>
      </c>
      <c r="D64" t="str">
        <f>ROUND('By site'!CZ19, 1) &amp; CHAR(10) &amp; "["  &amp; ROUND('By site'!DA19, 1) &amp; ", " &amp; ROUND('By site'!DB19, 1) &amp; "]"</f>
        <v>14.7
[9.7, 22]</v>
      </c>
      <c r="E64" t="str">
        <f>ROUND('By site'!DC19, 1) &amp; CHAR(10) &amp; "["  &amp; ROUND('By site'!DD19, 1) &amp; ", " &amp; ROUND('By site'!DE19, 1) &amp; "]"</f>
        <v>0
[0, 0]</v>
      </c>
      <c r="F64" t="str">
        <f>ROUND('By site'!N19, 1) &amp; CHAR(10) &amp; "["  &amp; ROUND('By site'!O19, 1) &amp; ", " &amp; ROUND('By site'!P19, 1) &amp; "]"</f>
        <v>38.2
[31.8, 46.6]</v>
      </c>
      <c r="G64" s="9">
        <f>'By site'!CT19/'By site'!N19</f>
        <v>0.33464673845377674</v>
      </c>
      <c r="I64" t="s">
        <v>105</v>
      </c>
      <c r="J64" s="23">
        <f>'By site'!CH19/'By site'!S19</f>
        <v>0.86583927764038515</v>
      </c>
      <c r="K64" s="23">
        <f>'By site'!EA19/'By site'!K19</f>
        <v>0.83892738449836635</v>
      </c>
      <c r="L64" s="23">
        <f>'By site'!ED19/('By site'!N19 + 'By site'!Q19 + 'By site'!R19)</f>
        <v>0.90198370792101412</v>
      </c>
      <c r="O64" t="s">
        <v>105</v>
      </c>
      <c r="P64" s="9">
        <v>0.108770400776282</v>
      </c>
      <c r="Q64" s="2">
        <v>3.43962208462398E-3</v>
      </c>
      <c r="S64" t="s">
        <v>105</v>
      </c>
      <c r="T64" s="2">
        <f>'By site'!H19/'By site'!S19</f>
        <v>0</v>
      </c>
      <c r="U64" s="2">
        <f>'By site'!Q19/'By site'!S19</f>
        <v>0</v>
      </c>
      <c r="Y64" t="s">
        <v>105</v>
      </c>
      <c r="AA64" t="e">
        <f>ROUND('By site'!CQ19, 2) &amp; CHAR(10) &amp; "["  &amp; ROUND('By site'!CR19, 2) &amp; ", " &amp; ROUND('By site'!CS19, 2) &amp; "]"</f>
        <v>#VALUE!</v>
      </c>
      <c r="AB64" s="9" t="e">
        <f>Z64/'By site'!CQ19</f>
        <v>#VALUE!</v>
      </c>
    </row>
    <row r="65" spans="1:28" x14ac:dyDescent="0.2">
      <c r="A65" t="s">
        <v>129</v>
      </c>
      <c r="B65" t="str">
        <f>ROUND('By site'!CT20, 1) &amp; CHAR(10) &amp; "["  &amp; ROUND('By site'!CU20, 1) &amp; ", " &amp; ROUND('By site'!CV20, 1) &amp; "]"</f>
        <v>0.5
[0.1, 1.4]</v>
      </c>
      <c r="C65" t="str">
        <f>ROUND('By site'!CW20, 1) &amp; CHAR(10) &amp; "["  &amp; ROUND('By site'!CX20, 1) &amp; ", " &amp; ROUND('By site'!CY20, 1) &amp; "]"</f>
        <v>2.9
[1.7, 4.1]</v>
      </c>
      <c r="D65" t="str">
        <f>ROUND('By site'!CZ20, 1) &amp; CHAR(10) &amp; "["  &amp; ROUND('By site'!DA20, 1) &amp; ", " &amp; ROUND('By site'!DB20, 1) &amp; "]"</f>
        <v>0
[0, 0]</v>
      </c>
      <c r="E65" t="str">
        <f>ROUND('By site'!DC20, 1) &amp; CHAR(10) &amp; "["  &amp; ROUND('By site'!DD20, 1) &amp; ", " &amp; ROUND('By site'!DE20, 1) &amp; "]"</f>
        <v>0
[0, 0]</v>
      </c>
      <c r="F65" t="str">
        <f>ROUND('By site'!N20, 1) &amp; CHAR(10) &amp; "["  &amp; ROUND('By site'!O20, 1) &amp; ", " &amp; ROUND('By site'!P20, 1) &amp; "]"</f>
        <v>3.4
[2, 5]</v>
      </c>
      <c r="G65" s="9">
        <f>'By site'!CT20/'By site'!N20</f>
        <v>0.15768064737021797</v>
      </c>
      <c r="I65" t="s">
        <v>129</v>
      </c>
      <c r="J65" s="23">
        <f>'By site'!CH20/'By site'!S20</f>
        <v>0.69241584655685995</v>
      </c>
      <c r="K65" s="23">
        <f>'By site'!EA20/'By site'!K20</f>
        <v>0.96146923975234633</v>
      </c>
      <c r="L65" s="23">
        <f>'By site'!ED20/('By site'!N20 + 'By site'!Q20 + 'By site'!R20)</f>
        <v>0.27351118186401951</v>
      </c>
      <c r="O65" t="s">
        <v>129</v>
      </c>
      <c r="P65" s="9">
        <v>6.6973406517720699E-2</v>
      </c>
      <c r="Q65" s="2">
        <v>2.1178850725636299E-3</v>
      </c>
      <c r="S65" t="s">
        <v>129</v>
      </c>
      <c r="T65" s="2">
        <f>'By site'!H20/'By site'!S20</f>
        <v>0</v>
      </c>
      <c r="U65" s="2">
        <f>'By site'!Q20/'By site'!S20</f>
        <v>0</v>
      </c>
      <c r="Y65" t="s">
        <v>129</v>
      </c>
      <c r="AA65" t="e">
        <f>ROUND('By site'!CQ20, 2) &amp; CHAR(10) &amp; "["  &amp; ROUND('By site'!CR20, 2) &amp; ", " &amp; ROUND('By site'!CS20, 2) &amp; "]"</f>
        <v>#VALUE!</v>
      </c>
      <c r="AB65" s="9" t="e">
        <f>Z65/'By site'!CQ20</f>
        <v>#VALUE!</v>
      </c>
    </row>
    <row r="66" spans="1:28" x14ac:dyDescent="0.2">
      <c r="I66" t="s">
        <v>202</v>
      </c>
      <c r="J66" s="23">
        <f>'By site'!CH24</f>
        <v>0.74365651505092756</v>
      </c>
      <c r="K66" s="23">
        <f>'By site'!EA24</f>
        <v>0.72626419043519108</v>
      </c>
      <c r="L66" s="23">
        <f>'By site'!ED24</f>
        <v>0.76981959505665321</v>
      </c>
      <c r="Y66" t="s">
        <v>256</v>
      </c>
      <c r="Z66">
        <v>20.9</v>
      </c>
      <c r="AA66" s="6" t="e">
        <f>ROUND(Z69, 2) &amp; CHAR(10) &amp; "["  &amp; ROUND(Z69*AA69, 2) &amp; ", " &amp; ROUND(Z69*AB69, 2) &amp; "]"</f>
        <v>#VALUE!</v>
      </c>
      <c r="AB66" s="9" t="e">
        <f>Z66/('By site'!CQ14 - 'By site'!CQ20)</f>
        <v>#VALUE!</v>
      </c>
    </row>
    <row r="67" spans="1:28" x14ac:dyDescent="0.2">
      <c r="A67" s="22" t="s">
        <v>440</v>
      </c>
      <c r="B67" t="s">
        <v>262</v>
      </c>
      <c r="C67" t="s">
        <v>439</v>
      </c>
      <c r="D67" t="s">
        <v>437</v>
      </c>
      <c r="E67" t="s">
        <v>436</v>
      </c>
    </row>
    <row r="68" spans="1:28" x14ac:dyDescent="0.2">
      <c r="A68" t="s">
        <v>107</v>
      </c>
      <c r="B68">
        <f>'By site'!DN2*'By site'!Z2</f>
        <v>24.357965236152825</v>
      </c>
      <c r="C68" s="5">
        <f>'By site'!DX2</f>
        <v>7.2701047721023199E-3</v>
      </c>
      <c r="D68" s="2">
        <f>'By site'!DU2/C68-1</f>
        <v>0.65225628068829455</v>
      </c>
      <c r="E68" t="b">
        <f>ABS(D68) &lt;= 0.5</f>
        <v>0</v>
      </c>
      <c r="F68">
        <f>COUNTIF(E68:E82, TRUE)</f>
        <v>7</v>
      </c>
      <c r="Z68" t="s">
        <v>260</v>
      </c>
      <c r="AA68" t="s">
        <v>257</v>
      </c>
      <c r="AB68" t="s">
        <v>258</v>
      </c>
    </row>
    <row r="69" spans="1:28" x14ac:dyDescent="0.2">
      <c r="A69" t="s">
        <v>90</v>
      </c>
      <c r="B69">
        <f>'By site'!DN3*'By site'!Z3</f>
        <v>120.97259424653235</v>
      </c>
      <c r="C69" s="5">
        <f>'By site'!DX3</f>
        <v>6.5124999847487302E-3</v>
      </c>
      <c r="D69" s="2">
        <f>'By site'!DU3/C69-1</f>
        <v>0.22182170663463374</v>
      </c>
      <c r="E69" t="b">
        <f t="shared" ref="E69:E86" si="2">ABS(D69) &lt;= 0.5</f>
        <v>1</v>
      </c>
      <c r="Y69" t="s">
        <v>259</v>
      </c>
      <c r="Z69" t="e">
        <f>'By site'!CQ14 - 'By site'!CQ20</f>
        <v>#VALUE!</v>
      </c>
      <c r="AA69" t="e">
        <f>'By site'!CR14/'By site'!CQ14</f>
        <v>#VALUE!</v>
      </c>
      <c r="AB69" t="e">
        <f>'By site'!CS14/'By site'!CQ14</f>
        <v>#VALUE!</v>
      </c>
    </row>
    <row r="70" spans="1:28" x14ac:dyDescent="0.2">
      <c r="A70" t="s">
        <v>91</v>
      </c>
      <c r="B70">
        <f>'By site'!DN4*'By site'!Z4</f>
        <v>50.816506638195825</v>
      </c>
      <c r="C70" s="5">
        <f>'By site'!DX4</f>
        <v>5.9587925946185498E-3</v>
      </c>
      <c r="D70" s="2">
        <f>'By site'!DU4/C70-1</f>
        <v>-4.7322377123909742E-2</v>
      </c>
      <c r="E70" t="b">
        <f t="shared" si="2"/>
        <v>1</v>
      </c>
    </row>
    <row r="71" spans="1:28" x14ac:dyDescent="0.2">
      <c r="A71" t="s">
        <v>93</v>
      </c>
      <c r="B71">
        <f>'By site'!DN5*'By site'!Z5</f>
        <v>63.438241032096158</v>
      </c>
      <c r="C71" s="5">
        <f>'By site'!DX5</f>
        <v>5.9587925946185498E-3</v>
      </c>
      <c r="D71" s="2">
        <f>'By site'!DU5/C71-1</f>
        <v>-2.0157040448411379E-2</v>
      </c>
      <c r="E71" t="b">
        <f t="shared" si="2"/>
        <v>1</v>
      </c>
    </row>
    <row r="72" spans="1:28" x14ac:dyDescent="0.2">
      <c r="A72" t="s">
        <v>92</v>
      </c>
      <c r="B72">
        <f>'By site'!DN6*'By site'!Z6</f>
        <v>66.395754134398558</v>
      </c>
      <c r="C72" s="5">
        <f>'By site'!DX6</f>
        <v>5.9587925946185498E-3</v>
      </c>
      <c r="D72" s="2">
        <f>'By site'!DU6/C72-1</f>
        <v>-1.1189305522015469E-2</v>
      </c>
      <c r="E72" t="b">
        <f t="shared" si="2"/>
        <v>1</v>
      </c>
    </row>
    <row r="73" spans="1:28" x14ac:dyDescent="0.2">
      <c r="A73" t="s">
        <v>94</v>
      </c>
      <c r="B73">
        <f>'By site'!DN7*'By site'!Z7</f>
        <v>15.196735288855514</v>
      </c>
      <c r="C73" s="5">
        <f>'By site'!DX7</f>
        <v>5.1203661661178103E-2</v>
      </c>
      <c r="D73" s="2">
        <f>'By site'!DU7/C73-1</f>
        <v>-0.80772049211889108</v>
      </c>
      <c r="E73" t="b">
        <f t="shared" si="2"/>
        <v>0</v>
      </c>
    </row>
    <row r="74" spans="1:28" x14ac:dyDescent="0.2">
      <c r="A74" t="s">
        <v>95</v>
      </c>
      <c r="B74">
        <f>'By site'!DN8*'By site'!Z8</f>
        <v>15.50160821102906</v>
      </c>
      <c r="C74" s="5">
        <f>'By site'!DX8</f>
        <v>4.8477730768718801E-2</v>
      </c>
      <c r="D74" s="2">
        <f>'By site'!DU8/C74-1</f>
        <v>-0.80311300258441154</v>
      </c>
      <c r="E74" t="b">
        <f t="shared" si="2"/>
        <v>0</v>
      </c>
    </row>
    <row r="75" spans="1:28" x14ac:dyDescent="0.2">
      <c r="A75" t="s">
        <v>97</v>
      </c>
      <c r="B75">
        <f>'By site'!DN9*'By site'!Z9</f>
        <v>14.261429630091026</v>
      </c>
      <c r="C75" s="5">
        <f>'By site'!DX9</f>
        <v>5.6475808579374398E-2</v>
      </c>
      <c r="D75" s="2">
        <f>'By site'!DU9/C75-1</f>
        <v>-0.85911069645475324</v>
      </c>
      <c r="E75" t="b">
        <f t="shared" si="2"/>
        <v>0</v>
      </c>
    </row>
    <row r="76" spans="1:28" x14ac:dyDescent="0.2">
      <c r="A76" t="s">
        <v>96</v>
      </c>
      <c r="B76">
        <f>'By site'!DN10*'By site'!Z10</f>
        <v>15.112625086571196</v>
      </c>
      <c r="C76" s="5">
        <f>'By site'!DX10</f>
        <v>5.6475808579374398E-2</v>
      </c>
      <c r="D76" s="2">
        <f>'By site'!DU10/C76-1</f>
        <v>-0.86153111739278021</v>
      </c>
      <c r="E76" t="b">
        <f t="shared" si="2"/>
        <v>0</v>
      </c>
    </row>
    <row r="77" spans="1:28" x14ac:dyDescent="0.2">
      <c r="A77" t="s">
        <v>98</v>
      </c>
      <c r="B77">
        <f>'By site'!DN11*'By site'!Z11</f>
        <v>12.20299091396601</v>
      </c>
      <c r="C77" s="5">
        <f>'By site'!DX11</f>
        <v>5.6475808579374398E-2</v>
      </c>
      <c r="D77" s="2">
        <f>'By site'!DU11/C77-1</f>
        <v>-0.8389824258658235</v>
      </c>
      <c r="E77" t="b">
        <f t="shared" si="2"/>
        <v>0</v>
      </c>
    </row>
    <row r="78" spans="1:28" x14ac:dyDescent="0.2">
      <c r="A78" t="s">
        <v>99</v>
      </c>
      <c r="B78">
        <f>'By site'!DN12*'By site'!Z12</f>
        <v>19.391289447219531</v>
      </c>
      <c r="C78" s="5">
        <f>'By site'!DX12</f>
        <v>5.4262313508968698E-3</v>
      </c>
      <c r="D78" s="2">
        <f>'By site'!DU12/C78-1</f>
        <v>0.15518202176321916</v>
      </c>
      <c r="E78" t="b">
        <f t="shared" si="2"/>
        <v>1</v>
      </c>
    </row>
    <row r="79" spans="1:28" x14ac:dyDescent="0.2">
      <c r="A79" t="s">
        <v>100</v>
      </c>
      <c r="B79">
        <f>'By site'!DN13*'By site'!Z13</f>
        <v>19.151798216419305</v>
      </c>
      <c r="C79" s="5">
        <f>'By site'!DX13</f>
        <v>5.4262313508968698E-3</v>
      </c>
      <c r="D79" s="2">
        <f>'By site'!DU13/C79-1</f>
        <v>0.18260473867649729</v>
      </c>
      <c r="E79" t="b">
        <f t="shared" si="2"/>
        <v>1</v>
      </c>
    </row>
    <row r="80" spans="1:28" x14ac:dyDescent="0.2">
      <c r="A80" t="s">
        <v>101</v>
      </c>
      <c r="B80">
        <f>'By site'!DN14*'By site'!Z14</f>
        <v>56.321647797862589</v>
      </c>
      <c r="C80" s="5">
        <f>'By site'!DX14</f>
        <v>3.0734467370106002E-3</v>
      </c>
      <c r="D80" s="2">
        <f>'By site'!DU14/C80-1</f>
        <v>-0.62041138938429041</v>
      </c>
      <c r="E80" t="b">
        <f t="shared" si="2"/>
        <v>0</v>
      </c>
    </row>
    <row r="81" spans="1:5" x14ac:dyDescent="0.2">
      <c r="A81" t="s">
        <v>89</v>
      </c>
      <c r="B81">
        <f>'By site'!DN15*'By site'!Z15</f>
        <v>8.4196860466966505</v>
      </c>
      <c r="C81" s="5">
        <f>'By site'!DX15</f>
        <v>1.8855842445038701E-2</v>
      </c>
      <c r="D81" s="2">
        <f>'By site'!DU15/C81-1</f>
        <v>0.68120878259509854</v>
      </c>
      <c r="E81" t="b">
        <f t="shared" si="2"/>
        <v>0</v>
      </c>
    </row>
    <row r="82" spans="1:5" x14ac:dyDescent="0.2">
      <c r="A82" t="s">
        <v>102</v>
      </c>
      <c r="B82">
        <f>'By site'!DN16*'By site'!Z16</f>
        <v>6.7875851967528753</v>
      </c>
      <c r="C82" s="5">
        <f>'By site'!DX16</f>
        <v>5.9587925946185498E-3</v>
      </c>
      <c r="D82" s="2">
        <f>'By site'!DU16/C82-1</f>
        <v>-6.9197843662562653E-2</v>
      </c>
      <c r="E82" t="b">
        <f t="shared" si="2"/>
        <v>1</v>
      </c>
    </row>
    <row r="83" spans="1:5" x14ac:dyDescent="0.2">
      <c r="A83" t="s">
        <v>103</v>
      </c>
      <c r="B83">
        <f>'By site'!DN17*'By site'!Z17</f>
        <v>54.652973052983512</v>
      </c>
      <c r="C83" s="5">
        <f>'By site'!DX17</f>
        <v>5.9587925946185498E-3</v>
      </c>
      <c r="D83" s="2">
        <f>'By site'!DU17/C83-1</f>
        <v>8.4398645908885239E-3</v>
      </c>
      <c r="E83" t="b">
        <f t="shared" si="2"/>
        <v>1</v>
      </c>
    </row>
    <row r="84" spans="1:5" x14ac:dyDescent="0.2">
      <c r="A84" t="s">
        <v>104</v>
      </c>
      <c r="B84">
        <f>'By site'!DN18*'By site'!Z18</f>
        <v>41.522548395860255</v>
      </c>
      <c r="C84" s="5">
        <f>'By site'!DX18</f>
        <v>5.9587925946185498E-3</v>
      </c>
      <c r="D84" s="2">
        <f>'By site'!DU18/C84-1</f>
        <v>-0.13199843580523385</v>
      </c>
      <c r="E84" t="b">
        <f t="shared" si="2"/>
        <v>1</v>
      </c>
    </row>
    <row r="85" spans="1:5" x14ac:dyDescent="0.2">
      <c r="A85" t="s">
        <v>105</v>
      </c>
      <c r="B85">
        <f>'By site'!DN19*'By site'!Z19</f>
        <v>13.130424665419572</v>
      </c>
      <c r="C85" s="5">
        <f>'By site'!DX19</f>
        <v>5.9587925946185498E-3</v>
      </c>
      <c r="D85" s="2">
        <f>'By site'!DU19/C85-1</f>
        <v>0.42225240100013894</v>
      </c>
      <c r="E85" t="b">
        <f t="shared" si="2"/>
        <v>1</v>
      </c>
    </row>
    <row r="86" spans="1:5" x14ac:dyDescent="0.2">
      <c r="A86" t="s">
        <v>129</v>
      </c>
      <c r="B86">
        <f>'By site'!DN20*'By site'!Z20</f>
        <v>28.019992150124839</v>
      </c>
      <c r="C86" s="5">
        <f>'By site'!DX20</f>
        <v>3.0734467370106002E-3</v>
      </c>
      <c r="D86" s="2">
        <f>'By site'!DU20/C86-1</f>
        <v>-0.92897651505997414</v>
      </c>
      <c r="E86" t="b">
        <f t="shared" si="2"/>
        <v>0</v>
      </c>
    </row>
    <row r="87" spans="1:5" x14ac:dyDescent="0.2">
      <c r="A87" t="s">
        <v>261</v>
      </c>
      <c r="B87">
        <f>B69+B73+B79+B80+B81+B82</f>
        <v>226.8500467931193</v>
      </c>
    </row>
    <row r="88" spans="1:5" x14ac:dyDescent="0.2">
      <c r="A88" t="s">
        <v>263</v>
      </c>
      <c r="B88" s="24">
        <f>B87/'By site'!Z23</f>
        <v>9.4542909008482612E-3</v>
      </c>
    </row>
    <row r="89" spans="1:5" x14ac:dyDescent="0.2">
      <c r="A89" t="s">
        <v>264</v>
      </c>
      <c r="B89">
        <f>'By site'!S23/B87</f>
        <v>3.1235665548029594</v>
      </c>
    </row>
    <row r="90" spans="1:5" x14ac:dyDescent="0.2">
      <c r="A90" t="s">
        <v>265</v>
      </c>
      <c r="B90">
        <f>'By site'!BE23/0.0225</f>
        <v>1.312493638100781</v>
      </c>
    </row>
    <row r="93" spans="1:5" x14ac:dyDescent="0.2">
      <c r="B93"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C2B9-085C-8A46-A27B-BDD957FD37D2}">
  <dimension ref="A1:EA25"/>
  <sheetViews>
    <sheetView workbookViewId="0">
      <pane xSplit="1" ySplit="1" topLeftCell="B2" activePane="bottomRight" state="frozen"/>
      <selection pane="topRight" activeCell="B1" sqref="B1"/>
      <selection pane="bottomLeft" activeCell="A2" sqref="A2"/>
      <selection pane="bottomRight" activeCell="B3" sqref="B3"/>
    </sheetView>
  </sheetViews>
  <sheetFormatPr baseColWidth="10" defaultRowHeight="16" x14ac:dyDescent="0.2"/>
  <cols>
    <col min="1" max="1" width="21.5" customWidth="1"/>
    <col min="2" max="2" width="14.1640625" customWidth="1"/>
    <col min="36" max="36" width="10.6640625" customWidth="1"/>
  </cols>
  <sheetData>
    <row r="1" spans="1:131" x14ac:dyDescent="0.2">
      <c r="A1" t="s">
        <v>106</v>
      </c>
      <c r="B1" t="s">
        <v>18</v>
      </c>
      <c r="C1" t="s">
        <v>136</v>
      </c>
      <c r="D1" t="s">
        <v>137</v>
      </c>
      <c r="E1" t="s">
        <v>19</v>
      </c>
      <c r="F1" t="s">
        <v>138</v>
      </c>
      <c r="G1" t="s">
        <v>139</v>
      </c>
      <c r="H1" t="s">
        <v>20</v>
      </c>
      <c r="I1" t="s">
        <v>192</v>
      </c>
      <c r="J1" t="s">
        <v>193</v>
      </c>
      <c r="K1" t="s">
        <v>140</v>
      </c>
      <c r="L1" t="s">
        <v>141</v>
      </c>
      <c r="M1" t="s">
        <v>142</v>
      </c>
      <c r="N1" t="s">
        <v>53</v>
      </c>
      <c r="O1" t="s">
        <v>54</v>
      </c>
      <c r="P1" t="s">
        <v>69</v>
      </c>
      <c r="Q1" t="s">
        <v>70</v>
      </c>
      <c r="R1" t="s">
        <v>71</v>
      </c>
      <c r="S1" t="s">
        <v>67</v>
      </c>
      <c r="T1" t="s">
        <v>72</v>
      </c>
      <c r="U1" t="s">
        <v>55</v>
      </c>
      <c r="V1" t="s">
        <v>56</v>
      </c>
      <c r="W1" t="s">
        <v>57</v>
      </c>
      <c r="X1" t="s">
        <v>14</v>
      </c>
      <c r="Y1" t="s">
        <v>86</v>
      </c>
      <c r="Z1" t="s">
        <v>15</v>
      </c>
      <c r="AA1" t="s">
        <v>25</v>
      </c>
      <c r="AB1" t="s">
        <v>26</v>
      </c>
      <c r="AC1" t="s">
        <v>33</v>
      </c>
      <c r="AD1" t="s">
        <v>34</v>
      </c>
      <c r="AE1" t="s">
        <v>40</v>
      </c>
      <c r="AF1" t="s">
        <v>60</v>
      </c>
      <c r="AG1" t="s">
        <v>61</v>
      </c>
      <c r="AH1" t="s">
        <v>62</v>
      </c>
      <c r="AI1" t="s">
        <v>63</v>
      </c>
      <c r="AJ1" t="s">
        <v>64</v>
      </c>
      <c r="AK1" t="s">
        <v>65</v>
      </c>
      <c r="AM1" t="s">
        <v>22</v>
      </c>
      <c r="AN1" t="s">
        <v>35</v>
      </c>
      <c r="AO1" t="s">
        <v>38</v>
      </c>
      <c r="AP1" t="s">
        <v>143</v>
      </c>
      <c r="AQ1" t="s">
        <v>50</v>
      </c>
      <c r="AR1" t="s">
        <v>144</v>
      </c>
      <c r="AS1" t="s">
        <v>88</v>
      </c>
      <c r="AT1" t="s">
        <v>87</v>
      </c>
      <c r="AU1" t="s">
        <v>145</v>
      </c>
      <c r="AV1" t="s">
        <v>146</v>
      </c>
      <c r="AW1" t="s">
        <v>147</v>
      </c>
      <c r="AX1" t="s">
        <v>148</v>
      </c>
      <c r="AY1" s="1" t="s">
        <v>149</v>
      </c>
      <c r="AZ1" s="1" t="s">
        <v>150</v>
      </c>
      <c r="BA1" t="s">
        <v>151</v>
      </c>
      <c r="BB1" t="s">
        <v>152</v>
      </c>
      <c r="BC1" t="s">
        <v>58</v>
      </c>
      <c r="BD1" t="s">
        <v>59</v>
      </c>
      <c r="BE1" t="s">
        <v>16</v>
      </c>
      <c r="BF1" t="s">
        <v>153</v>
      </c>
      <c r="BG1" t="s">
        <v>154</v>
      </c>
      <c r="BH1" t="s">
        <v>85</v>
      </c>
      <c r="BI1" t="s">
        <v>155</v>
      </c>
      <c r="BJ1" t="s">
        <v>156</v>
      </c>
      <c r="BK1" t="s">
        <v>17</v>
      </c>
      <c r="BL1" t="s">
        <v>42</v>
      </c>
      <c r="BM1" t="s">
        <v>43</v>
      </c>
      <c r="BN1" t="s">
        <v>44</v>
      </c>
      <c r="BO1" t="s">
        <v>45</v>
      </c>
      <c r="BP1" t="s">
        <v>157</v>
      </c>
      <c r="BQ1" t="s">
        <v>158</v>
      </c>
      <c r="BR1" t="s">
        <v>159</v>
      </c>
      <c r="BS1" t="s">
        <v>68</v>
      </c>
      <c r="BT1" t="s">
        <v>160</v>
      </c>
      <c r="BU1" t="s">
        <v>161</v>
      </c>
      <c r="BV1" t="s">
        <v>73</v>
      </c>
      <c r="BW1" t="s">
        <v>162</v>
      </c>
      <c r="BX1" t="s">
        <v>163</v>
      </c>
      <c r="BY1" t="s">
        <v>164</v>
      </c>
      <c r="BZ1" t="s">
        <v>165</v>
      </c>
      <c r="CA1" t="s">
        <v>166</v>
      </c>
      <c r="CB1" t="s">
        <v>167</v>
      </c>
      <c r="CC1" t="s">
        <v>168</v>
      </c>
      <c r="CD1" t="s">
        <v>23</v>
      </c>
      <c r="CE1" t="s">
        <v>169</v>
      </c>
      <c r="CF1" t="s">
        <v>170</v>
      </c>
      <c r="CG1" t="s">
        <v>39</v>
      </c>
      <c r="CH1" t="s">
        <v>41</v>
      </c>
      <c r="CI1" t="s">
        <v>79</v>
      </c>
      <c r="CJ1" t="s">
        <v>171</v>
      </c>
      <c r="CK1" t="s">
        <v>172</v>
      </c>
      <c r="CL1" t="s">
        <v>76</v>
      </c>
      <c r="CM1" t="s">
        <v>173</v>
      </c>
      <c r="CN1" t="s">
        <v>174</v>
      </c>
      <c r="CO1" t="s">
        <v>22</v>
      </c>
      <c r="CP1" t="s">
        <v>175</v>
      </c>
      <c r="CQ1" t="s">
        <v>176</v>
      </c>
      <c r="CR1" t="s">
        <v>177</v>
      </c>
      <c r="CS1" t="s">
        <v>178</v>
      </c>
      <c r="CT1" t="s">
        <v>179</v>
      </c>
      <c r="CU1" t="s">
        <v>180</v>
      </c>
      <c r="CV1" t="s">
        <v>181</v>
      </c>
      <c r="CW1" t="s">
        <v>182</v>
      </c>
      <c r="CX1" t="s">
        <v>183</v>
      </c>
      <c r="CY1" t="s">
        <v>184</v>
      </c>
      <c r="CZ1" t="s">
        <v>185</v>
      </c>
      <c r="DA1" t="s">
        <v>186</v>
      </c>
      <c r="DB1" t="s">
        <v>187</v>
      </c>
      <c r="DC1" t="s">
        <v>188</v>
      </c>
      <c r="DD1" t="s">
        <v>189</v>
      </c>
      <c r="DE1" t="s">
        <v>190</v>
      </c>
      <c r="DF1" t="s">
        <v>191</v>
      </c>
      <c r="DG1" t="s">
        <v>80</v>
      </c>
      <c r="DH1" t="s">
        <v>77</v>
      </c>
      <c r="DI1" t="s">
        <v>78</v>
      </c>
      <c r="DJ1" t="s">
        <v>81</v>
      </c>
      <c r="DK1" t="s">
        <v>82</v>
      </c>
      <c r="DL1" t="s">
        <v>75</v>
      </c>
      <c r="DM1" t="s">
        <v>24</v>
      </c>
      <c r="DN1" t="s">
        <v>27</v>
      </c>
      <c r="DO1" t="s">
        <v>111</v>
      </c>
      <c r="DP1" t="s">
        <v>114</v>
      </c>
      <c r="DQ1" t="s">
        <v>115</v>
      </c>
      <c r="DR1" t="s">
        <v>130</v>
      </c>
      <c r="DS1" t="s">
        <v>131</v>
      </c>
      <c r="DT1" t="s">
        <v>132</v>
      </c>
      <c r="DU1" t="s">
        <v>133</v>
      </c>
      <c r="DV1" t="s">
        <v>217</v>
      </c>
      <c r="DW1" t="s">
        <v>218</v>
      </c>
      <c r="DX1" t="s">
        <v>219</v>
      </c>
      <c r="DY1" t="s">
        <v>220</v>
      </c>
      <c r="DZ1" t="s">
        <v>221</v>
      </c>
      <c r="EA1" t="s">
        <v>222</v>
      </c>
    </row>
    <row r="2" spans="1:131" x14ac:dyDescent="0.2">
      <c r="A2" t="s">
        <v>1</v>
      </c>
      <c r="S2" s="9"/>
      <c r="T2" s="6"/>
      <c r="U2" s="6"/>
      <c r="V2" s="4"/>
      <c r="W2" s="7"/>
      <c r="X2" s="7"/>
      <c r="Y2" s="8"/>
      <c r="Z2" s="7"/>
      <c r="AA2" s="7"/>
      <c r="AB2" s="7"/>
      <c r="AI2" s="11"/>
      <c r="AJ2" s="4"/>
      <c r="AK2" s="6"/>
      <c r="AL2" s="6"/>
      <c r="AM2" s="11"/>
      <c r="AN2" s="2"/>
      <c r="AR2" s="3"/>
      <c r="AS2" s="2"/>
      <c r="AT2" s="2"/>
      <c r="AU2" s="2"/>
      <c r="AV2" s="2"/>
      <c r="AW2" s="2"/>
      <c r="AX2" s="2"/>
      <c r="AY2" s="3"/>
      <c r="AZ2" s="3"/>
      <c r="BA2" s="2"/>
      <c r="BB2" s="3"/>
      <c r="BC2" s="3"/>
      <c r="BD2" s="3"/>
      <c r="BE2" s="3"/>
      <c r="BF2" s="3"/>
      <c r="BG2" s="3"/>
      <c r="BH2" s="3"/>
      <c r="BI2" s="3"/>
      <c r="BK2" s="7"/>
      <c r="BL2" s="3"/>
      <c r="BM2" s="3"/>
      <c r="BN2" s="3"/>
      <c r="BO2" s="12"/>
      <c r="BP2" s="12"/>
      <c r="BQ2" s="12"/>
      <c r="BR2" s="9"/>
      <c r="BS2" s="9"/>
      <c r="BT2" s="9"/>
      <c r="BU2" s="9"/>
      <c r="BV2" s="9"/>
    </row>
    <row r="3" spans="1:131" x14ac:dyDescent="0.2">
      <c r="A3" t="s">
        <v>90</v>
      </c>
      <c r="B3">
        <v>296.076611516166</v>
      </c>
      <c r="C3">
        <v>291.91127792527999</v>
      </c>
      <c r="D3">
        <v>300.00331109537899</v>
      </c>
      <c r="E3">
        <v>920.32253986157298</v>
      </c>
      <c r="F3">
        <v>898.65027927508095</v>
      </c>
      <c r="G3">
        <v>936.18478920158498</v>
      </c>
      <c r="H3">
        <v>0</v>
      </c>
      <c r="I3">
        <v>0</v>
      </c>
      <c r="J3">
        <v>0</v>
      </c>
      <c r="K3">
        <v>1216.3991513777401</v>
      </c>
      <c r="L3">
        <v>1194.4508277371499</v>
      </c>
      <c r="M3">
        <v>1234.4512077066399</v>
      </c>
      <c r="N3">
        <v>898.65027927508095</v>
      </c>
      <c r="O3">
        <v>936.18478920158498</v>
      </c>
      <c r="P3">
        <v>828.62889552065303</v>
      </c>
      <c r="Q3">
        <v>805.22847509389305</v>
      </c>
      <c r="R3">
        <v>851.81590705976498</v>
      </c>
      <c r="S3" s="9">
        <v>0</v>
      </c>
      <c r="T3" s="6">
        <v>285.450080400133</v>
      </c>
      <c r="U3" s="6">
        <v>2330.4781272985201</v>
      </c>
      <c r="V3" s="4">
        <v>2250.9173364615199</v>
      </c>
      <c r="W3" s="7">
        <v>2416.5610910177302</v>
      </c>
      <c r="X3" s="7">
        <v>1000</v>
      </c>
      <c r="Y3" s="8">
        <v>6.9697854072994399E-3</v>
      </c>
      <c r="Z3" s="7">
        <v>15.0295249</v>
      </c>
      <c r="AA3" s="7">
        <v>113</v>
      </c>
      <c r="AB3" s="7">
        <v>78493.850326203203</v>
      </c>
      <c r="AC3">
        <v>84570</v>
      </c>
      <c r="AD3">
        <v>326908</v>
      </c>
      <c r="AE3">
        <v>1.82507693639206</v>
      </c>
      <c r="AF3">
        <v>1749</v>
      </c>
      <c r="AG3">
        <v>1502</v>
      </c>
      <c r="AH3">
        <v>1054</v>
      </c>
      <c r="AI3" s="11">
        <v>483.45299999999997</v>
      </c>
      <c r="AJ3" s="4">
        <v>0</v>
      </c>
      <c r="AK3" s="6">
        <v>0</v>
      </c>
      <c r="AL3" s="6"/>
      <c r="AM3" s="11">
        <v>581.526691916299</v>
      </c>
      <c r="AN3" s="2" t="s">
        <v>37</v>
      </c>
      <c r="AO3" t="s">
        <v>37</v>
      </c>
      <c r="AP3">
        <v>20230329</v>
      </c>
      <c r="AQ3">
        <v>179120</v>
      </c>
      <c r="AR3" s="3">
        <v>3.8655933703088201</v>
      </c>
      <c r="AS3" s="2">
        <v>0.50861822288460201</v>
      </c>
      <c r="AT3" s="2">
        <v>3.54495986774767E-3</v>
      </c>
      <c r="AU3" s="2">
        <v>2.2040396689670599E-4</v>
      </c>
      <c r="AV3" s="2">
        <v>0.26599034345600098</v>
      </c>
      <c r="AW3" s="2">
        <v>0.73400965654399897</v>
      </c>
      <c r="AX3" s="2">
        <v>0</v>
      </c>
      <c r="AY3" s="17">
        <v>3.7719720753375801E-3</v>
      </c>
      <c r="AZ3" s="3">
        <v>3.7189063437729299E-3</v>
      </c>
      <c r="BA3" s="3">
        <v>3.8219976450209899E-3</v>
      </c>
      <c r="BB3" s="3">
        <v>1.1724772527235101E-2</v>
      </c>
      <c r="BC3" s="3">
        <v>1.1448671144815599E-2</v>
      </c>
      <c r="BD3" s="3">
        <v>1.19268552289257E-2</v>
      </c>
      <c r="BE3" s="3">
        <v>0</v>
      </c>
      <c r="BF3" s="3">
        <v>0</v>
      </c>
      <c r="BG3" s="3">
        <v>0</v>
      </c>
      <c r="BH3" s="3">
        <v>1.54967446025727E-2</v>
      </c>
      <c r="BI3" s="3">
        <v>1.5217126217828199E-2</v>
      </c>
      <c r="BJ3">
        <v>1.5726725120204E-2</v>
      </c>
      <c r="BK3" s="3">
        <v>2.9689945360223399E-2</v>
      </c>
      <c r="BL3" s="3">
        <v>-1.0135926637101899E-3</v>
      </c>
      <c r="BM3" s="3">
        <v>1.0966841779510299E-3</v>
      </c>
      <c r="BN3" s="3">
        <v>2.86763526965132E-2</v>
      </c>
      <c r="BO3" s="3">
        <v>3.07866295381744E-2</v>
      </c>
      <c r="BP3" s="3">
        <v>1.0556609111122099E-2</v>
      </c>
      <c r="BQ3" s="3">
        <v>1.02584912288993E-2</v>
      </c>
      <c r="BR3" s="9">
        <v>1.0852008195798801E-2</v>
      </c>
      <c r="BS3" s="9">
        <v>0</v>
      </c>
      <c r="BT3" s="9">
        <v>0</v>
      </c>
      <c r="BU3" s="9">
        <v>0</v>
      </c>
      <c r="BV3" s="9">
        <v>3.6365916465285501E-3</v>
      </c>
      <c r="BW3">
        <v>2.9820051501534099E-3</v>
      </c>
      <c r="BX3">
        <v>4.2911781429036903E-3</v>
      </c>
      <c r="BY3">
        <v>1.41932007576507E-2</v>
      </c>
      <c r="BZ3">
        <v>1.32404963790527E-2</v>
      </c>
      <c r="CA3">
        <v>1.51431863387025E-2</v>
      </c>
      <c r="CB3">
        <v>9.7644037516748591E-3</v>
      </c>
      <c r="CC3">
        <v>8.3854399285395297E-3</v>
      </c>
      <c r="CD3">
        <v>0.91418761553684302</v>
      </c>
      <c r="CE3">
        <v>46337</v>
      </c>
      <c r="CF3">
        <v>2.2746401363920799E-2</v>
      </c>
      <c r="CG3">
        <v>5.7166016317843201E-3</v>
      </c>
      <c r="CH3">
        <v>1.04334117443943E-2</v>
      </c>
      <c r="CI3">
        <v>1748.9514353822301</v>
      </c>
      <c r="CJ3">
        <v>1725.55101495547</v>
      </c>
      <c r="CK3">
        <v>1772.1384469213399</v>
      </c>
      <c r="CL3">
        <v>1748.9514353822301</v>
      </c>
      <c r="CM3">
        <v>1725.55101495547</v>
      </c>
      <c r="CN3">
        <v>1772.1384469213399</v>
      </c>
      <c r="CO3">
        <v>581.526691916299</v>
      </c>
      <c r="CP3">
        <v>525.98034385338894</v>
      </c>
      <c r="CQ3">
        <v>636.83440596753599</v>
      </c>
      <c r="CR3">
        <v>1146.7944340809599</v>
      </c>
      <c r="CS3">
        <v>1124.46238462263</v>
      </c>
      <c r="CT3">
        <v>1164.80260781892</v>
      </c>
      <c r="CU3">
        <v>102.446355766876</v>
      </c>
      <c r="CV3">
        <v>90.0650553292826</v>
      </c>
      <c r="CW3">
        <v>116.12022473019999</v>
      </c>
      <c r="CX3">
        <v>80.830065567047498</v>
      </c>
      <c r="CY3">
        <v>67.8304551578927</v>
      </c>
      <c r="CZ3">
        <v>96.340665180131097</v>
      </c>
      <c r="DA3">
        <v>29.6311572136986</v>
      </c>
      <c r="DB3">
        <v>14.0725628567393</v>
      </c>
      <c r="DC3">
        <v>50.834256026144097</v>
      </c>
      <c r="DD3">
        <v>0</v>
      </c>
      <c r="DE3">
        <v>0</v>
      </c>
      <c r="DF3">
        <v>0</v>
      </c>
      <c r="DG3">
        <v>0.75046893741995602</v>
      </c>
      <c r="DH3">
        <v>0.75046893741995602</v>
      </c>
      <c r="DI3">
        <v>0.24953106258004301</v>
      </c>
      <c r="DJ3">
        <v>0.47804738790729401</v>
      </c>
      <c r="DK3">
        <v>0.35556175783746202</v>
      </c>
      <c r="DL3">
        <v>1216.3991513777401</v>
      </c>
      <c r="DM3">
        <v>3.7558432013298999</v>
      </c>
      <c r="DN3">
        <v>1.69397782174511</v>
      </c>
      <c r="DO3">
        <v>1.14918517480515E-2</v>
      </c>
      <c r="DP3">
        <v>0.9</v>
      </c>
      <c r="DQ3">
        <v>17.326203208556102</v>
      </c>
      <c r="DR3">
        <v>3.6937902517610803E-2</v>
      </c>
      <c r="DS3">
        <v>-3.4139255131815101E-2</v>
      </c>
      <c r="DT3">
        <v>0</v>
      </c>
      <c r="DU3">
        <v>0</v>
      </c>
      <c r="DV3">
        <v>4.1260395098287397E-3</v>
      </c>
      <c r="DW3">
        <v>4.0346791376989098E-3</v>
      </c>
      <c r="DX3">
        <v>4.2281483911227498E-3</v>
      </c>
      <c r="DY3">
        <v>6.5124999847487302E-3</v>
      </c>
      <c r="DZ3">
        <v>7.4087833021432301E-3</v>
      </c>
      <c r="EA3">
        <v>5.6162166673542303E-3</v>
      </c>
    </row>
    <row r="4" spans="1:131" x14ac:dyDescent="0.2">
      <c r="A4" t="s">
        <v>21</v>
      </c>
      <c r="S4" s="9"/>
      <c r="T4" s="6"/>
      <c r="U4" s="6"/>
      <c r="V4" s="4"/>
      <c r="W4" s="7"/>
      <c r="X4" s="7"/>
      <c r="Y4" s="8"/>
      <c r="Z4" s="7"/>
      <c r="AA4" s="7"/>
      <c r="AB4" s="7"/>
      <c r="AI4" s="11"/>
      <c r="AJ4" s="4"/>
      <c r="AK4" s="6"/>
      <c r="AL4" s="6"/>
      <c r="AM4" s="11"/>
      <c r="AN4" s="2"/>
      <c r="AR4" s="3"/>
      <c r="AS4" s="2"/>
      <c r="AT4" s="2"/>
      <c r="AU4" s="2"/>
      <c r="AV4" s="2"/>
      <c r="AW4" s="2"/>
      <c r="AX4" s="2"/>
      <c r="AY4" s="3"/>
      <c r="AZ4" s="3"/>
      <c r="BA4" s="2"/>
      <c r="BB4" s="2"/>
      <c r="BC4" s="3"/>
      <c r="BD4" s="3"/>
      <c r="BE4" s="3"/>
      <c r="BF4" s="3"/>
      <c r="BG4" s="3"/>
      <c r="BH4" s="3"/>
      <c r="BI4" s="3"/>
      <c r="BK4" s="7"/>
      <c r="BL4" s="3"/>
      <c r="BM4" s="3"/>
      <c r="BN4" s="3"/>
      <c r="BO4" s="12"/>
      <c r="BP4" s="12"/>
      <c r="BQ4" s="12"/>
      <c r="BR4" s="9"/>
      <c r="BS4" s="9"/>
      <c r="BT4" s="9"/>
      <c r="BU4" s="9"/>
      <c r="BV4" s="9"/>
    </row>
    <row r="5" spans="1:131" x14ac:dyDescent="0.2">
      <c r="A5" t="s">
        <v>3</v>
      </c>
      <c r="S5" s="9"/>
      <c r="T5" s="6"/>
      <c r="U5" s="6"/>
      <c r="V5" s="4"/>
      <c r="W5" s="7"/>
      <c r="X5" s="7"/>
      <c r="Y5" s="8"/>
      <c r="Z5" s="7"/>
      <c r="AA5" s="7"/>
      <c r="AB5" s="7"/>
      <c r="AI5" s="11"/>
      <c r="AJ5" s="4"/>
      <c r="AK5" s="6"/>
      <c r="AL5" s="6"/>
      <c r="AM5" s="11"/>
      <c r="AN5" s="2"/>
      <c r="AR5" s="3"/>
      <c r="AS5" s="2"/>
      <c r="AT5" s="2"/>
      <c r="AU5" s="2"/>
      <c r="AV5" s="2"/>
      <c r="AW5" s="2"/>
      <c r="AX5" s="2"/>
      <c r="AY5" s="3"/>
      <c r="AZ5" s="3"/>
      <c r="BA5" s="2"/>
      <c r="BB5" s="2"/>
      <c r="BC5" s="3"/>
      <c r="BD5" s="3"/>
      <c r="BE5" s="3"/>
      <c r="BF5" s="3"/>
      <c r="BG5" s="3"/>
      <c r="BH5" s="3"/>
      <c r="BI5" s="3"/>
      <c r="BK5" s="7"/>
      <c r="BL5" s="3"/>
      <c r="BM5" s="3"/>
      <c r="BN5" s="3"/>
      <c r="BO5" s="12"/>
      <c r="BP5" s="12"/>
      <c r="BQ5" s="12"/>
      <c r="BR5" s="9"/>
      <c r="BS5" s="9"/>
      <c r="BT5" s="9"/>
      <c r="BU5" s="9"/>
      <c r="BV5" s="9"/>
    </row>
    <row r="6" spans="1:131" x14ac:dyDescent="0.2">
      <c r="A6" t="s">
        <v>4</v>
      </c>
      <c r="S6" s="9"/>
      <c r="T6" s="6"/>
      <c r="U6" s="6"/>
      <c r="V6" s="4"/>
      <c r="W6" s="7"/>
      <c r="X6" s="7"/>
      <c r="Y6" s="8"/>
      <c r="Z6" s="7"/>
      <c r="AA6" s="7"/>
      <c r="AB6" s="7"/>
      <c r="AI6" s="11"/>
      <c r="AJ6" s="4"/>
      <c r="AK6" s="6"/>
      <c r="AL6" s="6"/>
      <c r="AM6" s="11"/>
      <c r="AN6" s="2"/>
      <c r="AR6" s="3"/>
      <c r="AS6" s="2"/>
      <c r="AT6" s="2"/>
      <c r="AU6" s="2"/>
      <c r="AV6" s="2"/>
      <c r="AW6" s="2"/>
      <c r="AX6" s="2"/>
      <c r="AY6" s="3"/>
      <c r="AZ6" s="3"/>
      <c r="BA6" s="2"/>
      <c r="BB6" s="2"/>
      <c r="BC6" s="3"/>
      <c r="BD6" s="3"/>
      <c r="BE6" s="3"/>
      <c r="BF6" s="3"/>
      <c r="BG6" s="3"/>
      <c r="BH6" s="3"/>
      <c r="BI6" s="3"/>
      <c r="BK6" s="7"/>
      <c r="BL6" s="3"/>
      <c r="BM6" s="3"/>
      <c r="BN6" s="3"/>
      <c r="BO6" s="12"/>
      <c r="BP6" s="12"/>
      <c r="BQ6" s="12"/>
      <c r="BR6" s="9"/>
      <c r="BS6" s="9"/>
      <c r="BT6" s="9"/>
      <c r="BU6" s="9"/>
      <c r="BV6" s="9"/>
    </row>
    <row r="7" spans="1:131" x14ac:dyDescent="0.2">
      <c r="A7" t="s">
        <v>31</v>
      </c>
      <c r="S7" s="9"/>
      <c r="T7" s="6"/>
      <c r="U7" s="6"/>
      <c r="V7" s="4"/>
      <c r="W7" s="7"/>
      <c r="X7" s="7"/>
      <c r="Y7" s="8"/>
      <c r="Z7" s="7"/>
      <c r="AA7" s="7"/>
      <c r="AB7" s="7"/>
      <c r="AI7" s="11"/>
      <c r="AJ7" s="4"/>
      <c r="AK7" s="6"/>
      <c r="AL7" s="6"/>
      <c r="AM7" s="11"/>
      <c r="AN7" s="2"/>
      <c r="AR7" s="3"/>
      <c r="AS7" s="2"/>
      <c r="AT7" s="2"/>
      <c r="AU7" s="2"/>
      <c r="AV7" s="2"/>
      <c r="AW7" s="2"/>
      <c r="AX7" s="2"/>
      <c r="AY7" s="3"/>
      <c r="AZ7" s="3"/>
      <c r="BA7" s="2"/>
      <c r="BB7" s="2"/>
      <c r="BC7" s="3"/>
      <c r="BD7" s="3"/>
      <c r="BE7" s="3"/>
      <c r="BF7" s="3"/>
      <c r="BG7" s="3"/>
      <c r="BH7" s="3"/>
      <c r="BI7" s="3"/>
      <c r="BK7" s="7"/>
      <c r="BL7" s="3"/>
      <c r="BM7" s="3"/>
      <c r="BN7" s="3"/>
      <c r="BO7" s="12"/>
      <c r="BP7" s="12"/>
      <c r="BQ7" s="12"/>
      <c r="BR7" s="9"/>
      <c r="BS7" s="9"/>
      <c r="BT7" s="9"/>
      <c r="BU7" s="9"/>
      <c r="BV7" s="9"/>
    </row>
    <row r="8" spans="1:131" x14ac:dyDescent="0.2">
      <c r="A8" t="s">
        <v>32</v>
      </c>
      <c r="S8" s="9"/>
      <c r="T8" s="6"/>
      <c r="U8" s="6"/>
      <c r="V8" s="4"/>
      <c r="W8" s="7"/>
      <c r="X8" s="7"/>
      <c r="Y8" s="8"/>
      <c r="Z8" s="7"/>
      <c r="AA8" s="7"/>
      <c r="AB8" s="7"/>
      <c r="AI8" s="11"/>
      <c r="AJ8" s="4"/>
      <c r="AK8" s="6"/>
      <c r="AL8" s="6"/>
      <c r="AM8" s="11"/>
      <c r="AN8" s="2"/>
      <c r="AR8" s="3"/>
      <c r="AS8" s="2"/>
      <c r="AT8" s="2"/>
      <c r="AU8" s="2"/>
      <c r="AV8" s="2"/>
      <c r="AW8" s="2"/>
      <c r="AX8" s="2"/>
      <c r="AY8" s="3"/>
      <c r="AZ8" s="3"/>
      <c r="BA8" s="2"/>
      <c r="BB8" s="2"/>
      <c r="BC8" s="3"/>
      <c r="BD8" s="3"/>
      <c r="BE8" s="3"/>
      <c r="BF8" s="3"/>
      <c r="BG8" s="3"/>
      <c r="BH8" s="3"/>
      <c r="BI8" s="3"/>
      <c r="BK8" s="7"/>
      <c r="BL8" s="3"/>
      <c r="BM8" s="3"/>
      <c r="BN8" s="3"/>
      <c r="BO8" s="12"/>
      <c r="BP8" s="12"/>
      <c r="BQ8" s="12"/>
      <c r="BR8" s="9"/>
      <c r="BS8" s="9"/>
      <c r="BT8" s="9"/>
      <c r="BU8" s="9"/>
      <c r="BV8" s="9"/>
    </row>
    <row r="9" spans="1:131" x14ac:dyDescent="0.2">
      <c r="A9" t="s">
        <v>8</v>
      </c>
      <c r="S9" s="9"/>
      <c r="T9" s="6"/>
      <c r="U9" s="6"/>
      <c r="V9" s="4"/>
      <c r="W9" s="7"/>
      <c r="X9" s="7"/>
      <c r="Y9" s="8"/>
      <c r="Z9" s="7"/>
      <c r="AA9" s="7"/>
      <c r="AB9" s="7"/>
      <c r="AI9" s="11"/>
      <c r="AJ9" s="4"/>
      <c r="AK9" s="6"/>
      <c r="AL9" s="6"/>
      <c r="AM9" s="11"/>
      <c r="AN9" s="2"/>
      <c r="AR9" s="3"/>
      <c r="AS9" s="2"/>
      <c r="AT9" s="2"/>
      <c r="AU9" s="2"/>
      <c r="AV9" s="2"/>
      <c r="AW9" s="2"/>
      <c r="AX9" s="2"/>
      <c r="AY9" s="3"/>
      <c r="AZ9" s="3"/>
      <c r="BA9" s="2"/>
      <c r="BB9" s="2"/>
      <c r="BC9" s="3"/>
      <c r="BD9" s="3"/>
      <c r="BE9" s="3"/>
      <c r="BF9" s="3"/>
      <c r="BG9" s="3"/>
      <c r="BH9" s="3"/>
      <c r="BI9" s="3"/>
      <c r="BK9" s="7"/>
      <c r="BL9" s="3"/>
      <c r="BM9" s="3"/>
      <c r="BN9" s="3"/>
      <c r="BO9" s="12"/>
      <c r="BP9" s="12"/>
      <c r="BQ9" s="12"/>
      <c r="BR9" s="9"/>
      <c r="BS9" s="9"/>
      <c r="BT9" s="9"/>
      <c r="BU9" s="9"/>
      <c r="BV9" s="9"/>
    </row>
    <row r="10" spans="1:131" x14ac:dyDescent="0.2">
      <c r="A10" t="s">
        <v>6</v>
      </c>
      <c r="S10" s="9"/>
      <c r="T10" s="6"/>
      <c r="U10" s="6"/>
      <c r="V10" s="4"/>
      <c r="W10" s="7"/>
      <c r="X10" s="7"/>
      <c r="Y10" s="8"/>
      <c r="Z10" s="7"/>
      <c r="AA10" s="7"/>
      <c r="AB10" s="7"/>
      <c r="AI10" s="11"/>
      <c r="AJ10" s="4"/>
      <c r="AK10" s="6"/>
      <c r="AL10" s="6"/>
      <c r="AM10" s="11"/>
      <c r="AN10" s="2"/>
      <c r="AR10" s="3"/>
      <c r="AS10" s="2"/>
      <c r="AT10" s="2"/>
      <c r="AU10" s="2"/>
      <c r="AV10" s="2"/>
      <c r="AW10" s="2"/>
      <c r="AX10" s="2"/>
      <c r="AY10" s="3"/>
      <c r="AZ10" s="3"/>
      <c r="BA10" s="2"/>
      <c r="BB10" s="2"/>
      <c r="BC10" s="3"/>
      <c r="BD10" s="3"/>
      <c r="BE10" s="3"/>
      <c r="BF10" s="3"/>
      <c r="BG10" s="3"/>
      <c r="BH10" s="3"/>
      <c r="BI10" s="3"/>
      <c r="BK10" s="7"/>
      <c r="BL10" s="3"/>
      <c r="BM10" s="3"/>
      <c r="BN10" s="3"/>
      <c r="BO10" s="12"/>
      <c r="BP10" s="12"/>
      <c r="BQ10" s="12"/>
      <c r="BR10" s="9"/>
      <c r="BS10" s="9"/>
      <c r="BT10" s="9"/>
      <c r="BU10" s="9"/>
      <c r="BV10" s="9"/>
    </row>
    <row r="11" spans="1:131" x14ac:dyDescent="0.2">
      <c r="A11" t="s">
        <v>5</v>
      </c>
      <c r="S11" s="9"/>
      <c r="T11" s="6"/>
      <c r="U11" s="6"/>
      <c r="V11" s="4"/>
      <c r="W11" s="7"/>
      <c r="X11" s="7"/>
      <c r="Y11" s="8"/>
      <c r="Z11" s="7"/>
      <c r="AA11" s="7"/>
      <c r="AB11" s="7"/>
      <c r="AI11" s="11"/>
      <c r="AJ11" s="4"/>
      <c r="AK11" s="6"/>
      <c r="AL11" s="6"/>
      <c r="AM11" s="11"/>
      <c r="AN11" s="2"/>
      <c r="AR11" s="3"/>
      <c r="AS11" s="2"/>
      <c r="AT11" s="2"/>
      <c r="AU11" s="2"/>
      <c r="AV11" s="2"/>
      <c r="AW11" s="2"/>
      <c r="AX11" s="2"/>
      <c r="AY11" s="3"/>
      <c r="AZ11" s="3"/>
      <c r="BA11" s="2"/>
      <c r="BB11" s="2"/>
      <c r="BC11" s="3"/>
      <c r="BD11" s="3"/>
      <c r="BE11" s="3"/>
      <c r="BF11" s="3"/>
      <c r="BG11" s="3"/>
      <c r="BH11" s="3"/>
      <c r="BI11" s="3"/>
      <c r="BK11" s="7"/>
      <c r="BL11" s="3"/>
      <c r="BM11" s="3"/>
      <c r="BN11" s="3"/>
      <c r="BO11" s="12"/>
      <c r="BP11" s="12"/>
      <c r="BQ11" s="12"/>
      <c r="BR11" s="9"/>
      <c r="BS11" s="9"/>
      <c r="BT11" s="9"/>
      <c r="BU11" s="9"/>
      <c r="BV11" s="9"/>
    </row>
    <row r="12" spans="1:131" x14ac:dyDescent="0.2">
      <c r="A12" t="s">
        <v>7</v>
      </c>
      <c r="S12" s="9"/>
      <c r="T12" s="6"/>
      <c r="U12" s="6"/>
      <c r="V12" s="4"/>
      <c r="W12" s="7"/>
      <c r="X12" s="7"/>
      <c r="Y12" s="8"/>
      <c r="Z12" s="7"/>
      <c r="AA12" s="7"/>
      <c r="AB12" s="7"/>
      <c r="AI12" s="11"/>
      <c r="AJ12" s="4"/>
      <c r="AK12" s="6"/>
      <c r="AL12" s="6"/>
      <c r="AM12" s="11"/>
      <c r="AN12" s="2"/>
      <c r="AR12" s="3"/>
      <c r="AS12" s="2"/>
      <c r="AT12" s="2"/>
      <c r="AU12" s="2"/>
      <c r="AV12" s="2"/>
      <c r="AW12" s="2"/>
      <c r="AX12" s="2"/>
      <c r="AY12" s="3"/>
      <c r="AZ12" s="3"/>
      <c r="BA12" s="2"/>
      <c r="BB12" s="2"/>
      <c r="BC12" s="3"/>
      <c r="BD12" s="3"/>
      <c r="BE12" s="3"/>
      <c r="BF12" s="3"/>
      <c r="BG12" s="3"/>
      <c r="BH12" s="3"/>
      <c r="BI12" s="3"/>
      <c r="BK12" s="7"/>
      <c r="BL12" s="3"/>
      <c r="BM12" s="3"/>
      <c r="BN12" s="3"/>
      <c r="BO12" s="12"/>
      <c r="BP12" s="12"/>
      <c r="BQ12" s="12"/>
      <c r="BR12" s="9"/>
      <c r="BS12" s="9"/>
      <c r="BT12" s="9"/>
      <c r="BU12" s="9"/>
      <c r="BV12" s="9"/>
    </row>
    <row r="13" spans="1:131" x14ac:dyDescent="0.2">
      <c r="A13" t="s">
        <v>10</v>
      </c>
      <c r="S13" s="9"/>
      <c r="T13" s="6"/>
      <c r="U13" s="6"/>
      <c r="V13" s="4"/>
      <c r="W13" s="7"/>
      <c r="X13" s="7"/>
      <c r="Y13" s="8"/>
      <c r="Z13" s="7"/>
      <c r="AA13" s="7"/>
      <c r="AB13" s="7"/>
      <c r="AI13" s="11"/>
      <c r="AJ13" s="4"/>
      <c r="AK13" s="6"/>
      <c r="AL13" s="6"/>
      <c r="AM13" s="11"/>
      <c r="AN13" s="2"/>
      <c r="AR13" s="3"/>
      <c r="AS13" s="2"/>
      <c r="AT13" s="2"/>
      <c r="AU13" s="2"/>
      <c r="AV13" s="2"/>
      <c r="AW13" s="2"/>
      <c r="AX13" s="2"/>
      <c r="AY13" s="3"/>
      <c r="AZ13" s="3"/>
      <c r="BA13" s="2"/>
      <c r="BB13" s="2"/>
      <c r="BC13" s="3"/>
      <c r="BD13" s="3"/>
      <c r="BE13" s="3"/>
      <c r="BF13" s="3"/>
      <c r="BG13" s="3"/>
      <c r="BH13" s="3"/>
      <c r="BI13" s="3"/>
      <c r="BK13" s="7"/>
      <c r="BL13" s="3"/>
      <c r="BM13" s="3"/>
      <c r="BN13" s="3"/>
      <c r="BO13" s="12"/>
      <c r="BP13" s="12"/>
      <c r="BQ13" s="12"/>
      <c r="BR13" s="9"/>
      <c r="BS13" s="9"/>
      <c r="BT13" s="9"/>
      <c r="BU13" s="9"/>
      <c r="BV13" s="9"/>
    </row>
    <row r="14" spans="1:131" x14ac:dyDescent="0.2">
      <c r="A14" t="s">
        <v>9</v>
      </c>
      <c r="S14" s="9"/>
      <c r="T14" s="6"/>
      <c r="U14" s="6"/>
      <c r="V14" s="4"/>
      <c r="W14" s="7"/>
      <c r="X14" s="7"/>
      <c r="Y14" s="8"/>
      <c r="Z14" s="7"/>
      <c r="AA14" s="7"/>
      <c r="AB14" s="7"/>
      <c r="AI14" s="11"/>
      <c r="AJ14" s="4"/>
      <c r="AK14" s="6"/>
      <c r="AL14" s="6"/>
      <c r="AM14" s="11"/>
      <c r="AN14" s="2"/>
      <c r="AR14" s="3"/>
      <c r="AS14" s="2"/>
      <c r="AT14" s="2"/>
      <c r="AU14" s="2"/>
      <c r="AV14" s="2"/>
      <c r="AW14" s="2"/>
      <c r="AX14" s="2"/>
      <c r="AY14" s="3"/>
      <c r="AZ14" s="3"/>
      <c r="BA14" s="2"/>
      <c r="BB14" s="2"/>
      <c r="BC14" s="3"/>
      <c r="BD14" s="3"/>
      <c r="BE14" s="3"/>
      <c r="BF14" s="3"/>
      <c r="BG14" s="3"/>
      <c r="BH14" s="3"/>
      <c r="BI14" s="3"/>
      <c r="BK14" s="7"/>
      <c r="BL14" s="3"/>
      <c r="BM14" s="3"/>
      <c r="BN14" s="3"/>
      <c r="BO14" s="12"/>
      <c r="BP14" s="12"/>
      <c r="BQ14" s="12"/>
      <c r="BR14" s="9"/>
      <c r="BS14" s="9"/>
      <c r="BT14" s="9"/>
      <c r="BU14" s="9"/>
      <c r="BV14" s="9"/>
    </row>
    <row r="15" spans="1:131" x14ac:dyDescent="0.2">
      <c r="A15" t="s">
        <v>11</v>
      </c>
      <c r="S15" s="9"/>
      <c r="T15" s="6"/>
      <c r="U15" s="6"/>
      <c r="V15" s="4"/>
      <c r="W15" s="7"/>
      <c r="X15" s="7"/>
      <c r="Y15" s="8"/>
      <c r="Z15" s="7"/>
      <c r="AA15" s="7"/>
      <c r="AB15" s="7"/>
      <c r="AI15" s="11"/>
      <c r="AJ15" s="4"/>
      <c r="AK15" s="6"/>
      <c r="AL15" s="6"/>
      <c r="AM15" s="11"/>
      <c r="AN15" s="2"/>
      <c r="AR15" s="3"/>
      <c r="AS15" s="2"/>
      <c r="AT15" s="2"/>
      <c r="AU15" s="2"/>
      <c r="AV15" s="2"/>
      <c r="AW15" s="2"/>
      <c r="AX15" s="2"/>
      <c r="AY15" s="3"/>
      <c r="AZ15" s="3"/>
      <c r="BA15" s="2"/>
      <c r="BB15" s="2"/>
      <c r="BC15" s="3"/>
      <c r="BD15" s="3"/>
      <c r="BE15" s="3"/>
      <c r="BF15" s="3"/>
      <c r="BG15" s="3"/>
      <c r="BH15" s="3"/>
      <c r="BI15" s="3"/>
      <c r="BK15" s="7"/>
      <c r="BL15" s="3"/>
      <c r="BM15" s="3"/>
      <c r="BN15" s="3"/>
      <c r="BO15" s="12"/>
      <c r="BP15" s="12"/>
      <c r="BQ15" s="12"/>
      <c r="BR15" s="9"/>
      <c r="BS15" s="9"/>
      <c r="BT15" s="9"/>
      <c r="BU15" s="9"/>
      <c r="BV15" s="9"/>
    </row>
    <row r="16" spans="1:131" x14ac:dyDescent="0.2">
      <c r="A16" t="s">
        <v>12</v>
      </c>
      <c r="S16" s="9"/>
      <c r="U16" s="6"/>
      <c r="AI16" s="11"/>
      <c r="AJ16" s="4"/>
      <c r="AK16" s="6"/>
      <c r="AL16" s="6"/>
      <c r="AM16" s="11"/>
      <c r="AN16" s="2"/>
      <c r="AR16" s="3"/>
      <c r="AS16" s="2"/>
      <c r="AT16" s="2"/>
      <c r="AU16" s="2"/>
      <c r="AV16" s="2"/>
      <c r="AW16" s="2"/>
      <c r="AX16" s="2"/>
      <c r="AY16" s="3"/>
      <c r="AZ16" s="3"/>
      <c r="BA16" s="2"/>
      <c r="BB16" s="2"/>
      <c r="BC16" s="3"/>
      <c r="BD16" s="3"/>
      <c r="BE16" s="3"/>
      <c r="BF16" s="3"/>
      <c r="BG16" s="3"/>
      <c r="BH16" s="3"/>
      <c r="BI16" s="3"/>
      <c r="BK16" s="7"/>
      <c r="BL16" s="3"/>
      <c r="BM16" s="3"/>
      <c r="BN16" s="3"/>
      <c r="BO16" s="12"/>
      <c r="BP16" s="12"/>
      <c r="BQ16" s="12"/>
      <c r="BR16" s="9"/>
      <c r="BS16" s="9"/>
      <c r="BT16" s="9"/>
      <c r="BU16" s="9"/>
      <c r="BV16" s="9"/>
    </row>
    <row r="17" spans="1:74" x14ac:dyDescent="0.2">
      <c r="A17" t="s">
        <v>13</v>
      </c>
      <c r="S17" s="9"/>
      <c r="T17" s="6"/>
      <c r="U17" s="6"/>
      <c r="V17" s="4"/>
      <c r="W17" s="7"/>
      <c r="X17" s="7"/>
      <c r="Y17" s="8"/>
      <c r="Z17" s="7"/>
      <c r="AA17" s="7"/>
      <c r="AB17" s="7"/>
      <c r="AI17" s="11"/>
      <c r="AJ17" s="4"/>
      <c r="AK17" s="6"/>
      <c r="AL17" s="6"/>
      <c r="AM17" s="11"/>
      <c r="AN17" s="2"/>
      <c r="AR17" s="3"/>
      <c r="AS17" s="2"/>
      <c r="AT17" s="2"/>
      <c r="AU17" s="2"/>
      <c r="AV17" s="2"/>
      <c r="AW17" s="2"/>
      <c r="AX17" s="2"/>
      <c r="AY17" s="3"/>
      <c r="AZ17" s="3"/>
      <c r="BA17" s="2"/>
      <c r="BB17" s="2"/>
      <c r="BC17" s="3"/>
      <c r="BD17" s="3"/>
      <c r="BE17" s="3"/>
      <c r="BF17" s="3"/>
      <c r="BG17" s="3"/>
      <c r="BH17" s="3"/>
      <c r="BI17" s="3"/>
      <c r="BK17" s="7"/>
      <c r="BL17" s="3"/>
      <c r="BM17" s="3"/>
      <c r="BN17" s="3"/>
      <c r="BO17" s="12"/>
      <c r="BP17" s="12"/>
      <c r="BQ17" s="12"/>
      <c r="BR17" s="9"/>
      <c r="BS17" s="9"/>
      <c r="BT17" s="9"/>
      <c r="BU17" s="9"/>
      <c r="BV17" s="9"/>
    </row>
    <row r="18" spans="1:74" x14ac:dyDescent="0.2">
      <c r="A18" t="s">
        <v>46</v>
      </c>
      <c r="S18" s="9"/>
      <c r="U18" s="6"/>
      <c r="AI18" s="11"/>
      <c r="AJ18" s="4"/>
      <c r="AK18" s="6"/>
      <c r="AL18" s="6"/>
      <c r="AM18" s="11"/>
      <c r="AN18" s="2"/>
      <c r="AR18" s="3"/>
      <c r="AS18" s="2"/>
      <c r="AT18" s="2"/>
      <c r="AU18" s="2"/>
      <c r="AV18" s="2"/>
      <c r="AW18" s="2"/>
      <c r="AX18" s="2"/>
      <c r="AY18" s="3"/>
      <c r="AZ18" s="3"/>
      <c r="BA18" s="2"/>
      <c r="BB18" s="2"/>
      <c r="BC18" s="3"/>
      <c r="BD18" s="3"/>
      <c r="BE18" s="3"/>
      <c r="BF18" s="3"/>
      <c r="BG18" s="3"/>
      <c r="BH18" s="3"/>
      <c r="BI18" s="3"/>
      <c r="BK18" s="7"/>
      <c r="BL18" s="3"/>
      <c r="BM18" s="3"/>
      <c r="BN18" s="3"/>
      <c r="BO18" s="12"/>
      <c r="BP18" s="12"/>
      <c r="BQ18" s="12"/>
      <c r="BR18" s="9"/>
      <c r="BS18" s="9"/>
      <c r="BT18" s="9"/>
      <c r="BU18" s="9"/>
      <c r="BV18" s="9"/>
    </row>
    <row r="19" spans="1:74" x14ac:dyDescent="0.2">
      <c r="A19" t="s">
        <v>48</v>
      </c>
      <c r="S19" s="9"/>
      <c r="U19" s="6"/>
      <c r="W19" s="10"/>
      <c r="X19" s="10"/>
      <c r="AI19" s="11"/>
      <c r="AJ19" s="4"/>
      <c r="AK19" s="6"/>
      <c r="AL19" s="6"/>
      <c r="AM19" s="11"/>
      <c r="AN19" s="2"/>
      <c r="AR19" s="3"/>
      <c r="AS19" s="2"/>
      <c r="AT19" s="2"/>
      <c r="AU19" s="2"/>
      <c r="AV19" s="2"/>
      <c r="AW19" s="2"/>
      <c r="AX19" s="2"/>
      <c r="AY19" s="3"/>
      <c r="AZ19" s="3"/>
      <c r="BA19" s="2"/>
      <c r="BB19" s="2"/>
      <c r="BC19" s="3"/>
      <c r="BD19" s="3"/>
      <c r="BE19" s="3"/>
      <c r="BF19" s="3"/>
      <c r="BG19" s="3"/>
      <c r="BH19" s="3"/>
      <c r="BI19" s="3"/>
      <c r="BK19" s="7"/>
      <c r="BL19" s="3"/>
      <c r="BM19" s="3"/>
      <c r="BN19" s="3"/>
      <c r="BO19" s="12"/>
      <c r="BP19" s="12"/>
      <c r="BQ19" s="12"/>
      <c r="BR19" s="9"/>
      <c r="BS19" s="9"/>
      <c r="BT19" s="9"/>
      <c r="BU19" s="9"/>
      <c r="BV19" s="9"/>
    </row>
    <row r="20" spans="1:74" x14ac:dyDescent="0.2">
      <c r="A20" t="s">
        <v>49</v>
      </c>
      <c r="S20" s="9"/>
      <c r="U20" s="6"/>
      <c r="AI20" s="11"/>
      <c r="AJ20" s="4"/>
      <c r="AK20" s="6"/>
      <c r="AL20" s="6"/>
      <c r="AM20" s="11"/>
      <c r="AN20" s="2"/>
      <c r="AR20" s="3"/>
      <c r="AS20" s="2"/>
      <c r="AT20" s="2"/>
      <c r="AU20" s="2"/>
      <c r="AV20" s="2"/>
      <c r="AW20" s="2"/>
      <c r="AX20" s="2"/>
      <c r="AY20" s="3"/>
      <c r="AZ20" s="3"/>
      <c r="BA20" s="2"/>
      <c r="BB20" s="2"/>
      <c r="BC20" s="3"/>
      <c r="BD20" s="3"/>
      <c r="BE20" s="3"/>
      <c r="BF20" s="3"/>
      <c r="BG20" s="3"/>
      <c r="BH20" s="3"/>
      <c r="BI20" s="3"/>
      <c r="BK20" s="7"/>
      <c r="BL20" s="3"/>
      <c r="BM20" s="3"/>
      <c r="BN20" s="3"/>
      <c r="BO20" s="12"/>
      <c r="BP20" s="12"/>
      <c r="BQ20" s="12"/>
      <c r="BR20" s="9"/>
      <c r="BS20" s="9"/>
      <c r="BT20" s="9"/>
      <c r="BU20" s="9"/>
      <c r="BV20" s="9"/>
    </row>
    <row r="21" spans="1:74" x14ac:dyDescent="0.2">
      <c r="A21" t="s">
        <v>74</v>
      </c>
      <c r="U21" s="4"/>
      <c r="V21" s="7"/>
      <c r="AI21" s="11"/>
      <c r="AJ21" s="4"/>
      <c r="AK21" s="6"/>
      <c r="AL21" s="6"/>
      <c r="AM21" s="6"/>
      <c r="AN21" s="6"/>
      <c r="AR21" s="3"/>
      <c r="AS21" s="2"/>
      <c r="AT21" s="2"/>
      <c r="AU21" s="2"/>
      <c r="AV21" s="2"/>
      <c r="AW21" s="2"/>
      <c r="AX21" s="2"/>
      <c r="AY21" s="3"/>
      <c r="AZ21" s="3"/>
      <c r="BA21" s="2"/>
      <c r="BB21" s="2"/>
      <c r="BC21" s="3"/>
      <c r="BD21" s="3"/>
      <c r="BE21" s="3"/>
      <c r="BF21" s="3"/>
      <c r="BG21" s="3"/>
      <c r="BH21" s="3"/>
      <c r="BI21" s="3"/>
      <c r="BK21" s="7"/>
      <c r="BL21" s="3"/>
      <c r="BM21" s="3"/>
      <c r="BN21" s="3"/>
    </row>
    <row r="22" spans="1:74" x14ac:dyDescent="0.2">
      <c r="A22" t="s">
        <v>51</v>
      </c>
      <c r="V22" s="10">
        <f>V17+V4+V15+V13+V7+V3</f>
        <v>2250.9173364615199</v>
      </c>
      <c r="W22" s="10">
        <f>W17+W4+W15+W13+W7+W3</f>
        <v>2416.5610910177302</v>
      </c>
      <c r="X22" s="10">
        <f>SUM(X2:X17)</f>
        <v>1000</v>
      </c>
      <c r="AC22" s="10">
        <f>AC17+AC4+AC15+AC13+AC7+AC3</f>
        <v>84570</v>
      </c>
      <c r="AD22" s="10"/>
      <c r="AE22" s="10"/>
      <c r="AI22" s="11"/>
      <c r="AJ22" s="10"/>
      <c r="BK22" s="10"/>
      <c r="BN22" s="3"/>
      <c r="BO22" s="3"/>
      <c r="BP22" s="12"/>
      <c r="BQ22" s="12"/>
      <c r="BR22" s="12"/>
      <c r="BS22" s="12"/>
      <c r="BT22" s="12"/>
      <c r="BU22" s="12"/>
      <c r="BV22" s="12"/>
    </row>
    <row r="23" spans="1:74" x14ac:dyDescent="0.2">
      <c r="A23" t="s">
        <v>52</v>
      </c>
      <c r="AC23">
        <f>SUM(AC2:AC17)</f>
        <v>84570</v>
      </c>
      <c r="AI23" s="11"/>
      <c r="AJ23" s="4"/>
      <c r="BK23" s="10"/>
      <c r="BN23" s="3"/>
      <c r="BO23" s="3"/>
      <c r="BP23" s="12"/>
      <c r="BQ23" s="12"/>
      <c r="BR23" s="12"/>
      <c r="BS23" s="12"/>
      <c r="BT23" s="12"/>
      <c r="BU23" s="12"/>
      <c r="BV23" s="12"/>
    </row>
    <row r="24" spans="1:74" x14ac:dyDescent="0.2">
      <c r="U24" t="s">
        <v>83</v>
      </c>
      <c r="V24" s="14">
        <f>V22/V25</f>
        <v>2.6395484928697158E-2</v>
      </c>
      <c r="BP24" s="13"/>
      <c r="BQ24" s="13"/>
      <c r="BR24" s="13"/>
      <c r="BS24" s="13"/>
      <c r="BT24" s="13"/>
      <c r="BU24" s="13"/>
      <c r="BV24" s="13"/>
    </row>
    <row r="25" spans="1:74" x14ac:dyDescent="0.2">
      <c r="U25" t="s">
        <v>84</v>
      </c>
      <c r="V25">
        <v>85276.604788356199</v>
      </c>
      <c r="BP25" s="13"/>
      <c r="BQ25" s="13"/>
      <c r="BR25" s="13"/>
      <c r="BS25" s="13"/>
      <c r="BT25" s="13"/>
      <c r="BU25" s="13"/>
      <c r="BV25"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57D5C-511D-1C41-8C5C-1AA8ED32F13E}">
  <dimension ref="A1:EA25"/>
  <sheetViews>
    <sheetView workbookViewId="0">
      <pane xSplit="1" ySplit="1" topLeftCell="B2" activePane="bottomRight" state="frozen"/>
      <selection pane="topRight" activeCell="B1" sqref="B1"/>
      <selection pane="bottomLeft" activeCell="A2" sqref="A2"/>
      <selection pane="bottomRight" activeCell="B5" sqref="B5"/>
    </sheetView>
  </sheetViews>
  <sheetFormatPr baseColWidth="10" defaultRowHeight="16" x14ac:dyDescent="0.2"/>
  <cols>
    <col min="1" max="1" width="22" customWidth="1"/>
  </cols>
  <sheetData>
    <row r="1" spans="1:131" x14ac:dyDescent="0.2">
      <c r="A1" t="s">
        <v>106</v>
      </c>
      <c r="B1" t="s">
        <v>18</v>
      </c>
      <c r="C1" t="s">
        <v>136</v>
      </c>
      <c r="D1" t="s">
        <v>137</v>
      </c>
      <c r="E1" t="s">
        <v>19</v>
      </c>
      <c r="F1" t="s">
        <v>138</v>
      </c>
      <c r="G1" t="s">
        <v>139</v>
      </c>
      <c r="H1" t="s">
        <v>20</v>
      </c>
      <c r="I1" t="s">
        <v>192</v>
      </c>
      <c r="J1" t="s">
        <v>193</v>
      </c>
      <c r="K1" t="s">
        <v>140</v>
      </c>
      <c r="L1" t="s">
        <v>141</v>
      </c>
      <c r="M1" t="s">
        <v>142</v>
      </c>
      <c r="N1" t="s">
        <v>53</v>
      </c>
      <c r="O1" t="s">
        <v>54</v>
      </c>
      <c r="P1" t="s">
        <v>69</v>
      </c>
      <c r="Q1" t="s">
        <v>70</v>
      </c>
      <c r="R1" t="s">
        <v>71</v>
      </c>
      <c r="S1" t="s">
        <v>67</v>
      </c>
      <c r="T1" t="s">
        <v>72</v>
      </c>
      <c r="U1" t="s">
        <v>55</v>
      </c>
      <c r="V1" t="s">
        <v>56</v>
      </c>
      <c r="W1" t="s">
        <v>57</v>
      </c>
      <c r="X1" t="s">
        <v>14</v>
      </c>
      <c r="Y1" t="s">
        <v>86</v>
      </c>
      <c r="Z1" t="s">
        <v>15</v>
      </c>
      <c r="AA1" t="s">
        <v>25</v>
      </c>
      <c r="AB1" t="s">
        <v>26</v>
      </c>
      <c r="AC1" t="s">
        <v>33</v>
      </c>
      <c r="AD1" t="s">
        <v>34</v>
      </c>
      <c r="AE1" t="s">
        <v>40</v>
      </c>
      <c r="AF1" t="s">
        <v>60</v>
      </c>
      <c r="AG1" t="s">
        <v>61</v>
      </c>
      <c r="AH1" t="s">
        <v>62</v>
      </c>
      <c r="AI1" t="s">
        <v>63</v>
      </c>
      <c r="AJ1" t="s">
        <v>64</v>
      </c>
      <c r="AK1" t="s">
        <v>65</v>
      </c>
      <c r="AM1" t="s">
        <v>22</v>
      </c>
      <c r="AN1" t="s">
        <v>35</v>
      </c>
      <c r="AO1" t="s">
        <v>38</v>
      </c>
      <c r="AP1" t="s">
        <v>143</v>
      </c>
      <c r="AQ1" t="s">
        <v>50</v>
      </c>
      <c r="AR1" t="s">
        <v>144</v>
      </c>
      <c r="AS1" t="s">
        <v>88</v>
      </c>
      <c r="AT1" t="s">
        <v>87</v>
      </c>
      <c r="AU1" t="s">
        <v>145</v>
      </c>
      <c r="AV1" t="s">
        <v>146</v>
      </c>
      <c r="AW1" t="s">
        <v>147</v>
      </c>
      <c r="AX1" t="s">
        <v>148</v>
      </c>
      <c r="AY1" s="1" t="s">
        <v>149</v>
      </c>
      <c r="AZ1" s="1" t="s">
        <v>150</v>
      </c>
      <c r="BA1" t="s">
        <v>151</v>
      </c>
      <c r="BB1" t="s">
        <v>152</v>
      </c>
      <c r="BC1" t="s">
        <v>58</v>
      </c>
      <c r="BD1" t="s">
        <v>59</v>
      </c>
      <c r="BE1" t="s">
        <v>16</v>
      </c>
      <c r="BF1" t="s">
        <v>153</v>
      </c>
      <c r="BG1" t="s">
        <v>154</v>
      </c>
      <c r="BH1" t="s">
        <v>85</v>
      </c>
      <c r="BI1" t="s">
        <v>155</v>
      </c>
      <c r="BJ1" t="s">
        <v>156</v>
      </c>
      <c r="BK1" t="s">
        <v>17</v>
      </c>
      <c r="BL1" t="s">
        <v>42</v>
      </c>
      <c r="BM1" t="s">
        <v>43</v>
      </c>
      <c r="BN1" t="s">
        <v>44</v>
      </c>
      <c r="BO1" t="s">
        <v>45</v>
      </c>
      <c r="BP1" t="s">
        <v>157</v>
      </c>
      <c r="BQ1" t="s">
        <v>158</v>
      </c>
      <c r="BR1" t="s">
        <v>159</v>
      </c>
      <c r="BS1" t="s">
        <v>68</v>
      </c>
      <c r="BT1" t="s">
        <v>160</v>
      </c>
      <c r="BU1" t="s">
        <v>161</v>
      </c>
      <c r="BV1" t="s">
        <v>73</v>
      </c>
      <c r="BW1" t="s">
        <v>162</v>
      </c>
      <c r="BX1" t="s">
        <v>163</v>
      </c>
      <c r="BY1" t="s">
        <v>164</v>
      </c>
      <c r="BZ1" t="s">
        <v>165</v>
      </c>
      <c r="CA1" t="s">
        <v>166</v>
      </c>
      <c r="CB1" t="s">
        <v>167</v>
      </c>
      <c r="CC1" t="s">
        <v>168</v>
      </c>
      <c r="CD1" t="s">
        <v>23</v>
      </c>
      <c r="CE1" t="s">
        <v>169</v>
      </c>
      <c r="CF1" t="s">
        <v>170</v>
      </c>
      <c r="CG1" t="s">
        <v>39</v>
      </c>
      <c r="CH1" t="s">
        <v>41</v>
      </c>
      <c r="CI1" t="s">
        <v>79</v>
      </c>
      <c r="CJ1" t="s">
        <v>171</v>
      </c>
      <c r="CK1" t="s">
        <v>172</v>
      </c>
      <c r="CL1" t="s">
        <v>76</v>
      </c>
      <c r="CM1" t="s">
        <v>173</v>
      </c>
      <c r="CN1" t="s">
        <v>174</v>
      </c>
      <c r="CO1" t="s">
        <v>22</v>
      </c>
      <c r="CP1" t="s">
        <v>175</v>
      </c>
      <c r="CQ1" t="s">
        <v>176</v>
      </c>
      <c r="CR1" t="s">
        <v>177</v>
      </c>
      <c r="CS1" t="s">
        <v>178</v>
      </c>
      <c r="CT1" t="s">
        <v>179</v>
      </c>
      <c r="CU1" t="s">
        <v>180</v>
      </c>
      <c r="CV1" t="s">
        <v>181</v>
      </c>
      <c r="CW1" t="s">
        <v>182</v>
      </c>
      <c r="CX1" t="s">
        <v>183</v>
      </c>
      <c r="CY1" t="s">
        <v>184</v>
      </c>
      <c r="CZ1" t="s">
        <v>185</v>
      </c>
      <c r="DA1" t="s">
        <v>186</v>
      </c>
      <c r="DB1" t="s">
        <v>187</v>
      </c>
      <c r="DC1" t="s">
        <v>188</v>
      </c>
      <c r="DD1" t="s">
        <v>189</v>
      </c>
      <c r="DE1" t="s">
        <v>190</v>
      </c>
      <c r="DF1" t="s">
        <v>191</v>
      </c>
      <c r="DG1" t="s">
        <v>80</v>
      </c>
      <c r="DH1" t="s">
        <v>77</v>
      </c>
      <c r="DI1" t="s">
        <v>78</v>
      </c>
      <c r="DJ1" t="s">
        <v>81</v>
      </c>
      <c r="DK1" t="s">
        <v>82</v>
      </c>
      <c r="DL1" t="s">
        <v>75</v>
      </c>
      <c r="DM1" t="s">
        <v>24</v>
      </c>
      <c r="DN1" t="s">
        <v>27</v>
      </c>
      <c r="DO1" t="s">
        <v>111</v>
      </c>
      <c r="DP1" t="s">
        <v>114</v>
      </c>
      <c r="DQ1" t="s">
        <v>115</v>
      </c>
      <c r="DR1" t="s">
        <v>130</v>
      </c>
      <c r="DS1" t="s">
        <v>131</v>
      </c>
      <c r="DT1" t="s">
        <v>132</v>
      </c>
      <c r="DU1" t="s">
        <v>133</v>
      </c>
      <c r="DV1" t="s">
        <v>217</v>
      </c>
      <c r="DW1" t="s">
        <v>218</v>
      </c>
      <c r="DX1" t="s">
        <v>219</v>
      </c>
      <c r="DY1" t="s">
        <v>220</v>
      </c>
      <c r="DZ1" t="s">
        <v>221</v>
      </c>
      <c r="EA1" t="s">
        <v>222</v>
      </c>
    </row>
    <row r="2" spans="1:131" x14ac:dyDescent="0.2">
      <c r="A2" t="s">
        <v>107</v>
      </c>
      <c r="S2" s="9"/>
      <c r="T2" s="6"/>
      <c r="U2" s="6"/>
      <c r="V2" s="4"/>
      <c r="W2" s="7"/>
      <c r="X2" s="7"/>
      <c r="Y2" s="8"/>
      <c r="Z2" s="7"/>
      <c r="AA2" s="7"/>
      <c r="AB2" s="7"/>
      <c r="AI2" s="11"/>
      <c r="AJ2" s="4"/>
      <c r="AK2" s="6"/>
      <c r="AL2" s="6"/>
      <c r="AM2" s="11"/>
      <c r="AN2" s="2"/>
      <c r="AR2" s="3"/>
      <c r="AS2" s="3"/>
      <c r="AT2" s="2"/>
      <c r="AU2" s="2"/>
      <c r="AV2" s="2"/>
      <c r="AW2" s="2"/>
      <c r="AX2" s="2"/>
      <c r="AY2" s="3"/>
      <c r="AZ2" s="3"/>
      <c r="BA2" s="2"/>
      <c r="BB2" s="2"/>
      <c r="BC2" s="3"/>
      <c r="BD2" s="3"/>
      <c r="BE2" s="3"/>
      <c r="BF2" s="3"/>
      <c r="BG2" s="3"/>
      <c r="BH2" s="3"/>
      <c r="BI2" s="3"/>
      <c r="BK2" s="7"/>
      <c r="BL2" s="12"/>
      <c r="BM2" s="3"/>
      <c r="BN2" s="3"/>
      <c r="BO2" s="12"/>
      <c r="BP2" s="12"/>
      <c r="BQ2" s="12"/>
      <c r="BR2" s="9"/>
      <c r="BS2" s="9"/>
      <c r="BT2" s="9"/>
      <c r="BU2" s="9"/>
      <c r="BV2" s="9"/>
    </row>
    <row r="3" spans="1:131" x14ac:dyDescent="0.2">
      <c r="A3" t="s">
        <v>90</v>
      </c>
      <c r="S3" s="9"/>
      <c r="T3" s="6"/>
      <c r="U3" s="6"/>
      <c r="V3" s="4"/>
      <c r="W3" s="7"/>
      <c r="X3" s="7"/>
      <c r="Y3" s="8"/>
      <c r="Z3" s="7"/>
      <c r="AA3" s="7"/>
      <c r="AB3" s="7"/>
      <c r="AI3" s="11"/>
      <c r="AJ3" s="4"/>
      <c r="AK3" s="6"/>
      <c r="AL3" s="6"/>
      <c r="AM3" s="11"/>
      <c r="AN3" s="2"/>
      <c r="AR3" s="3"/>
      <c r="AS3" s="3"/>
      <c r="AT3" s="2"/>
      <c r="AU3" s="2"/>
      <c r="AV3" s="2"/>
      <c r="AW3" s="2"/>
      <c r="AX3" s="2"/>
      <c r="AY3" s="3"/>
      <c r="AZ3" s="3"/>
      <c r="BA3" s="2"/>
      <c r="BB3" s="2"/>
      <c r="BC3" s="3"/>
      <c r="BD3" s="3"/>
      <c r="BE3" s="3"/>
      <c r="BF3" s="3"/>
      <c r="BG3" s="3"/>
      <c r="BH3" s="3"/>
      <c r="BI3" s="3"/>
      <c r="BK3" s="7"/>
      <c r="BL3" s="12"/>
      <c r="BM3" s="3"/>
      <c r="BN3" s="3"/>
      <c r="BO3" s="12"/>
      <c r="BP3" s="12"/>
      <c r="BQ3" s="12"/>
      <c r="BR3" s="9"/>
      <c r="BS3" s="9"/>
      <c r="BT3" s="9"/>
      <c r="BU3" s="9"/>
      <c r="BV3" s="9"/>
    </row>
    <row r="4" spans="1:131" x14ac:dyDescent="0.2">
      <c r="A4" t="s">
        <v>91</v>
      </c>
      <c r="S4" s="9"/>
      <c r="T4" s="6"/>
      <c r="U4" s="6"/>
      <c r="V4" s="4"/>
      <c r="W4" s="7"/>
      <c r="X4" s="7"/>
      <c r="Y4" s="8"/>
      <c r="Z4" s="7"/>
      <c r="AA4" s="7"/>
      <c r="AB4" s="7"/>
      <c r="AI4" s="11"/>
      <c r="AJ4" s="4"/>
      <c r="AK4" s="6"/>
      <c r="AL4" s="6"/>
      <c r="AM4" s="11"/>
      <c r="AN4" s="2"/>
      <c r="AR4" s="3"/>
      <c r="AS4" s="3"/>
      <c r="AT4" s="2"/>
      <c r="AU4" s="2"/>
      <c r="AV4" s="2"/>
      <c r="AW4" s="2"/>
      <c r="AX4" s="2"/>
      <c r="AY4" s="3"/>
      <c r="AZ4" s="3"/>
      <c r="BA4" s="2"/>
      <c r="BB4" s="2"/>
      <c r="BC4" s="3"/>
      <c r="BD4" s="3"/>
      <c r="BE4" s="3"/>
      <c r="BF4" s="3"/>
      <c r="BG4" s="3"/>
      <c r="BH4" s="3"/>
      <c r="BI4" s="3"/>
      <c r="BK4" s="7"/>
      <c r="BL4" s="12"/>
      <c r="BM4" s="3"/>
      <c r="BN4" s="3"/>
      <c r="BO4" s="12"/>
      <c r="BP4" s="12"/>
      <c r="BQ4" s="12"/>
      <c r="BR4" s="9"/>
      <c r="BS4" s="9"/>
      <c r="BT4" s="9"/>
      <c r="BU4" s="9"/>
      <c r="BV4" s="9"/>
    </row>
    <row r="5" spans="1:131" x14ac:dyDescent="0.2">
      <c r="A5" t="s">
        <v>92</v>
      </c>
      <c r="B5">
        <v>10.439094025317701</v>
      </c>
      <c r="C5">
        <v>10.171897379030501</v>
      </c>
      <c r="D5">
        <v>10.7167360070142</v>
      </c>
      <c r="E5">
        <v>35.799419398102899</v>
      </c>
      <c r="F5">
        <v>32.0938723812164</v>
      </c>
      <c r="G5">
        <v>39.9701544361168</v>
      </c>
      <c r="H5">
        <v>0</v>
      </c>
      <c r="I5">
        <v>0</v>
      </c>
      <c r="J5">
        <v>0</v>
      </c>
      <c r="K5">
        <v>46.238513423420699</v>
      </c>
      <c r="L5">
        <v>42.478402392971198</v>
      </c>
      <c r="M5">
        <v>50.390024578404997</v>
      </c>
      <c r="N5">
        <v>32.0938723812164</v>
      </c>
      <c r="O5">
        <v>39.9701544361168</v>
      </c>
      <c r="P5">
        <v>43.985883244873101</v>
      </c>
      <c r="Q5">
        <v>39.001947439342601</v>
      </c>
      <c r="R5">
        <v>49.004824497185403</v>
      </c>
      <c r="S5" s="9">
        <v>0</v>
      </c>
      <c r="T5" s="6">
        <v>21.388091567027899</v>
      </c>
      <c r="U5" s="6">
        <v>111.612488235322</v>
      </c>
      <c r="V5" s="4">
        <v>101.59420415379</v>
      </c>
      <c r="W5" s="7">
        <v>121.92635309518</v>
      </c>
      <c r="X5" s="7">
        <v>1000</v>
      </c>
      <c r="Y5" s="8">
        <v>6.6656752115416398E-2</v>
      </c>
      <c r="Z5" s="7">
        <v>23.348039</v>
      </c>
      <c r="AA5" s="7">
        <v>47.622</v>
      </c>
      <c r="AB5" s="7">
        <v>6227.8408195989296</v>
      </c>
      <c r="AC5">
        <v>19670</v>
      </c>
      <c r="AD5">
        <v>94306</v>
      </c>
      <c r="AE5">
        <v>1.82507693639206</v>
      </c>
      <c r="AF5">
        <v>334</v>
      </c>
      <c r="AG5">
        <v>304.34100000000001</v>
      </c>
      <c r="AH5">
        <v>232</v>
      </c>
      <c r="AI5" s="11">
        <v>92.807000000000002</v>
      </c>
      <c r="AJ5" s="4">
        <v>0</v>
      </c>
      <c r="AK5" s="6">
        <v>0</v>
      </c>
      <c r="AL5" s="6"/>
      <c r="AM5" s="11">
        <v>31.8271855923456</v>
      </c>
      <c r="AN5" s="2" t="s">
        <v>36</v>
      </c>
      <c r="AO5" t="s">
        <v>36</v>
      </c>
      <c r="AP5">
        <v>20230329</v>
      </c>
      <c r="AQ5">
        <v>51672</v>
      </c>
      <c r="AR5" s="3">
        <v>4.7946552844019701</v>
      </c>
      <c r="AS5" s="3">
        <v>0.45668979343236699</v>
      </c>
      <c r="AT5" s="2">
        <v>3.0441458354461999E-2</v>
      </c>
      <c r="AU5" s="2">
        <v>2.1078715811396298E-3</v>
      </c>
      <c r="AV5" s="2">
        <v>0.18476967959739299</v>
      </c>
      <c r="AW5" s="2">
        <v>0.81523032040260601</v>
      </c>
      <c r="AX5" s="2">
        <v>0</v>
      </c>
      <c r="AY5" s="3">
        <v>1.6761979516987701E-3</v>
      </c>
      <c r="AZ5" s="3">
        <v>1.58225327126512E-3</v>
      </c>
      <c r="BA5" s="2">
        <v>1.7738151471534101E-3</v>
      </c>
      <c r="BB5" s="2">
        <v>5.7482874779719202E-3</v>
      </c>
      <c r="BC5" s="3">
        <v>4.4454401736721098E-3</v>
      </c>
      <c r="BD5" s="3">
        <v>7.2146919997504002E-3</v>
      </c>
      <c r="BE5" s="3">
        <v>0</v>
      </c>
      <c r="BF5" s="3">
        <v>0</v>
      </c>
      <c r="BG5" s="3">
        <v>0</v>
      </c>
      <c r="BH5" s="3">
        <v>7.4244854296706903E-3</v>
      </c>
      <c r="BI5" s="3">
        <v>6.8207270582915699E-3</v>
      </c>
      <c r="BJ5">
        <v>8.09109064249495E-3</v>
      </c>
      <c r="BK5" s="7">
        <v>1.7921538373954399E-2</v>
      </c>
      <c r="BL5" s="12">
        <v>-1.60862879635652E-3</v>
      </c>
      <c r="BM5" s="3">
        <v>1.6560899930840999E-3</v>
      </c>
      <c r="BN5" s="3">
        <v>1.6312909577597901E-2</v>
      </c>
      <c r="BO5" s="12">
        <v>1.95776283670385E-2</v>
      </c>
      <c r="BP5" s="12">
        <v>7.0627821935413202E-3</v>
      </c>
      <c r="BQ5" s="12">
        <v>6.2625151427448201E-3</v>
      </c>
      <c r="BR5" s="9">
        <v>7.8686700441937905E-3</v>
      </c>
      <c r="BS5" s="9">
        <v>0</v>
      </c>
      <c r="BT5" s="9">
        <v>0</v>
      </c>
      <c r="BU5" s="9">
        <v>0</v>
      </c>
      <c r="BV5" s="9">
        <v>3.4342707507423499E-3</v>
      </c>
      <c r="BW5">
        <v>2.81610201560873E-3</v>
      </c>
      <c r="BX5">
        <v>4.0524394858759798E-3</v>
      </c>
      <c r="BY5">
        <v>1.04970529442837E-2</v>
      </c>
      <c r="BZ5">
        <v>9.0786171583535497E-3</v>
      </c>
      <c r="CA5">
        <v>1.19211095300698E-2</v>
      </c>
      <c r="CB5">
        <v>6.4638488930174997E-3</v>
      </c>
      <c r="CC5">
        <v>5.8898629818857403E-3</v>
      </c>
      <c r="CD5">
        <v>0.82022651923421097</v>
      </c>
      <c r="CE5">
        <v>10777</v>
      </c>
      <c r="CF5">
        <v>2.1527326714299001E-2</v>
      </c>
      <c r="CG5">
        <v>4.7182003050330497E-3</v>
      </c>
      <c r="CH5">
        <v>8.6115802171290706E-3</v>
      </c>
      <c r="CI5">
        <v>79.785302642976006</v>
      </c>
      <c r="CJ5">
        <v>74.801366837445499</v>
      </c>
      <c r="CK5">
        <v>84.804243895288295</v>
      </c>
      <c r="CL5">
        <v>79.785302642976006</v>
      </c>
      <c r="CM5">
        <v>74.801366837445499</v>
      </c>
      <c r="CN5">
        <v>84.804243895288295</v>
      </c>
      <c r="CO5">
        <v>31.8271855923456</v>
      </c>
      <c r="CP5">
        <v>27.7101324639934</v>
      </c>
      <c r="CQ5">
        <v>35.954684056107197</v>
      </c>
      <c r="CR5">
        <v>79.890847212492403</v>
      </c>
      <c r="CS5">
        <v>71.755779799372604</v>
      </c>
      <c r="CT5">
        <v>89.041669741218698</v>
      </c>
      <c r="CU5">
        <v>6.8228679033276602</v>
      </c>
      <c r="CV5">
        <v>5.9653813633954904</v>
      </c>
      <c r="CW5">
        <v>7.7546272730968697</v>
      </c>
      <c r="CX5">
        <v>27.3657130224829</v>
      </c>
      <c r="CY5">
        <v>23.570773844722702</v>
      </c>
      <c r="CZ5">
        <v>31.7330674161547</v>
      </c>
      <c r="DA5">
        <v>9.7973023190625401</v>
      </c>
      <c r="DB5">
        <v>7.3908853781490498</v>
      </c>
      <c r="DC5">
        <v>12.772090945177901</v>
      </c>
      <c r="DD5">
        <v>0</v>
      </c>
      <c r="DE5">
        <v>0</v>
      </c>
      <c r="DF5">
        <v>0</v>
      </c>
      <c r="DG5">
        <v>0.71484082615897504</v>
      </c>
      <c r="DH5">
        <v>0.71484082615897504</v>
      </c>
      <c r="DI5">
        <v>0.28515917384102502</v>
      </c>
      <c r="DJ5">
        <v>0.58572275894542403</v>
      </c>
      <c r="DK5">
        <v>0.39409373160774303</v>
      </c>
      <c r="DL5">
        <v>46.238513423420699</v>
      </c>
      <c r="DM5">
        <v>3.6331021734893501</v>
      </c>
      <c r="DN5">
        <v>0.57788260365583499</v>
      </c>
      <c r="DO5">
        <v>1.06611193281389E-2</v>
      </c>
      <c r="DP5">
        <v>0.9</v>
      </c>
      <c r="DQ5">
        <v>17.326203208556102</v>
      </c>
      <c r="DR5">
        <v>9.2415674302494297E-2</v>
      </c>
      <c r="DS5">
        <v>-8.9759733591281504E-2</v>
      </c>
      <c r="DT5">
        <v>0</v>
      </c>
      <c r="DU5">
        <v>0</v>
      </c>
      <c r="DV5">
        <v>2.0436057234472999E-3</v>
      </c>
      <c r="DW5">
        <v>1.9552974962658101E-3</v>
      </c>
      <c r="DX5">
        <v>2.1741778221331999E-3</v>
      </c>
      <c r="DY5">
        <v>5.9587925946185498E-3</v>
      </c>
      <c r="DZ5">
        <v>6.80521140665222E-3</v>
      </c>
      <c r="EA5">
        <v>5.1123737825848796E-3</v>
      </c>
    </row>
    <row r="6" spans="1:131" x14ac:dyDescent="0.2">
      <c r="A6" t="s">
        <v>93</v>
      </c>
      <c r="S6" s="9"/>
      <c r="T6" s="6"/>
      <c r="U6" s="6"/>
      <c r="V6" s="4"/>
      <c r="W6" s="7"/>
      <c r="X6" s="7"/>
      <c r="Y6" s="8"/>
      <c r="Z6" s="7"/>
      <c r="AA6" s="7"/>
      <c r="AB6" s="7"/>
      <c r="AI6" s="11"/>
      <c r="AJ6" s="4"/>
      <c r="AK6" s="6"/>
      <c r="AL6" s="6"/>
      <c r="AM6" s="11"/>
      <c r="AN6" s="2"/>
      <c r="AR6" s="3"/>
      <c r="AS6" s="3"/>
      <c r="AT6" s="2"/>
      <c r="AU6" s="2"/>
      <c r="AV6" s="2"/>
      <c r="AW6" s="2"/>
      <c r="AX6" s="2"/>
      <c r="AY6" s="3"/>
      <c r="AZ6" s="3"/>
      <c r="BA6" s="2"/>
      <c r="BB6" s="2"/>
      <c r="BC6" s="3"/>
      <c r="BD6" s="3"/>
      <c r="BE6" s="3"/>
      <c r="BF6" s="3"/>
      <c r="BG6" s="3"/>
      <c r="BH6" s="3"/>
      <c r="BI6" s="3"/>
      <c r="BK6" s="7"/>
      <c r="BL6" s="12"/>
      <c r="BM6" s="3"/>
      <c r="BN6" s="3"/>
      <c r="BO6" s="12"/>
      <c r="BP6" s="12"/>
      <c r="BQ6" s="12"/>
      <c r="BR6" s="9"/>
      <c r="BS6" s="9"/>
      <c r="BT6" s="9"/>
      <c r="BU6" s="9"/>
      <c r="BV6" s="9"/>
    </row>
    <row r="7" spans="1:131" x14ac:dyDescent="0.2">
      <c r="A7" t="s">
        <v>94</v>
      </c>
      <c r="S7" s="9"/>
      <c r="T7" s="6"/>
      <c r="U7" s="6"/>
      <c r="V7" s="4"/>
      <c r="W7" s="7"/>
      <c r="X7" s="7"/>
      <c r="Y7" s="8"/>
      <c r="Z7" s="7"/>
      <c r="AA7" s="7"/>
      <c r="AB7" s="7"/>
      <c r="AI7" s="11"/>
      <c r="AJ7" s="4"/>
      <c r="AK7" s="6"/>
      <c r="AL7" s="6"/>
      <c r="AM7" s="11"/>
      <c r="AN7" s="2"/>
      <c r="AR7" s="3"/>
      <c r="AS7" s="3"/>
      <c r="AT7" s="2"/>
      <c r="AU7" s="2"/>
      <c r="AV7" s="2"/>
      <c r="AW7" s="2"/>
      <c r="AX7" s="2"/>
      <c r="AY7" s="3"/>
      <c r="AZ7" s="3"/>
      <c r="BA7" s="2"/>
      <c r="BB7" s="2"/>
      <c r="BC7" s="3"/>
      <c r="BD7" s="3"/>
      <c r="BE7" s="3"/>
      <c r="BF7" s="3"/>
      <c r="BG7" s="3"/>
      <c r="BH7" s="3"/>
      <c r="BI7" s="3"/>
      <c r="BK7" s="7"/>
      <c r="BL7" s="12"/>
      <c r="BM7" s="3"/>
      <c r="BN7" s="3"/>
      <c r="BO7" s="12"/>
      <c r="BP7" s="12"/>
      <c r="BQ7" s="12"/>
      <c r="BR7" s="9"/>
      <c r="BS7" s="9"/>
      <c r="BT7" s="9"/>
      <c r="BU7" s="9"/>
      <c r="BV7" s="9"/>
    </row>
    <row r="8" spans="1:131" x14ac:dyDescent="0.2">
      <c r="A8" t="s">
        <v>95</v>
      </c>
      <c r="S8" s="9"/>
      <c r="T8" s="6"/>
      <c r="U8" s="6"/>
      <c r="V8" s="4"/>
      <c r="W8" s="7"/>
      <c r="X8" s="7"/>
      <c r="Y8" s="8"/>
      <c r="Z8" s="7"/>
      <c r="AA8" s="7"/>
      <c r="AB8" s="7"/>
      <c r="AI8" s="11"/>
      <c r="AJ8" s="4"/>
      <c r="AK8" s="6"/>
      <c r="AL8" s="6"/>
      <c r="AM8" s="11"/>
      <c r="AN8" s="2"/>
      <c r="AR8" s="3"/>
      <c r="AS8" s="3"/>
      <c r="AT8" s="2"/>
      <c r="AU8" s="2"/>
      <c r="AV8" s="2"/>
      <c r="AW8" s="2"/>
      <c r="AX8" s="2"/>
      <c r="AY8" s="3"/>
      <c r="AZ8" s="3"/>
      <c r="BA8" s="2"/>
      <c r="BB8" s="2"/>
      <c r="BC8" s="3"/>
      <c r="BD8" s="3"/>
      <c r="BE8" s="3"/>
      <c r="BF8" s="3"/>
      <c r="BG8" s="3"/>
      <c r="BH8" s="3"/>
      <c r="BI8" s="3"/>
      <c r="BK8" s="7"/>
      <c r="BL8" s="12"/>
      <c r="BM8" s="3"/>
      <c r="BN8" s="3"/>
      <c r="BO8" s="12"/>
      <c r="BP8" s="12"/>
      <c r="BQ8" s="12"/>
      <c r="BR8" s="9"/>
      <c r="BS8" s="9"/>
      <c r="BT8" s="9"/>
      <c r="BU8" s="9"/>
      <c r="BV8" s="9"/>
    </row>
    <row r="9" spans="1:131" x14ac:dyDescent="0.2">
      <c r="A9" t="s">
        <v>96</v>
      </c>
      <c r="S9" s="9"/>
      <c r="T9" s="6"/>
      <c r="U9" s="6"/>
      <c r="V9" s="4"/>
      <c r="W9" s="7"/>
      <c r="X9" s="7"/>
      <c r="Y9" s="8"/>
      <c r="Z9" s="7"/>
      <c r="AA9" s="7"/>
      <c r="AB9" s="7"/>
      <c r="AI9" s="11"/>
      <c r="AJ9" s="4"/>
      <c r="AK9" s="6"/>
      <c r="AL9" s="6"/>
      <c r="AM9" s="11"/>
      <c r="AN9" s="2"/>
      <c r="AR9" s="3"/>
      <c r="AS9" s="3"/>
      <c r="AT9" s="2"/>
      <c r="AU9" s="2"/>
      <c r="AV9" s="2"/>
      <c r="AW9" s="2"/>
      <c r="AX9" s="2"/>
      <c r="AY9" s="3"/>
      <c r="AZ9" s="3"/>
      <c r="BA9" s="2"/>
      <c r="BB9" s="2"/>
      <c r="BC9" s="3"/>
      <c r="BD9" s="3"/>
      <c r="BE9" s="3"/>
      <c r="BF9" s="3"/>
      <c r="BG9" s="3"/>
      <c r="BH9" s="3"/>
      <c r="BI9" s="3"/>
      <c r="BK9" s="7"/>
      <c r="BL9" s="12"/>
      <c r="BM9" s="3"/>
      <c r="BN9" s="3"/>
      <c r="BO9" s="12"/>
      <c r="BP9" s="12"/>
      <c r="BQ9" s="12"/>
      <c r="BR9" s="9"/>
      <c r="BS9" s="9"/>
      <c r="BT9" s="9"/>
      <c r="BU9" s="9"/>
      <c r="BV9" s="9"/>
    </row>
    <row r="10" spans="1:131" x14ac:dyDescent="0.2">
      <c r="A10" t="s">
        <v>97</v>
      </c>
      <c r="S10" s="9"/>
      <c r="T10" s="6"/>
      <c r="U10" s="6"/>
      <c r="V10" s="4"/>
      <c r="W10" s="7"/>
      <c r="X10" s="7"/>
      <c r="Y10" s="8"/>
      <c r="Z10" s="7"/>
      <c r="AA10" s="7"/>
      <c r="AB10" s="7"/>
      <c r="AI10" s="11"/>
      <c r="AJ10" s="4"/>
      <c r="AK10" s="6"/>
      <c r="AL10" s="6"/>
      <c r="AM10" s="11"/>
      <c r="AN10" s="2"/>
      <c r="AR10" s="3"/>
      <c r="AS10" s="3"/>
      <c r="AT10" s="2"/>
      <c r="AU10" s="2"/>
      <c r="AV10" s="2"/>
      <c r="AW10" s="2"/>
      <c r="AX10" s="2"/>
      <c r="AY10" s="3"/>
      <c r="AZ10" s="3"/>
      <c r="BA10" s="2"/>
      <c r="BB10" s="2"/>
      <c r="BC10" s="3"/>
      <c r="BD10" s="3"/>
      <c r="BE10" s="3"/>
      <c r="BF10" s="3"/>
      <c r="BG10" s="3"/>
      <c r="BH10" s="3"/>
      <c r="BI10" s="3"/>
      <c r="BK10" s="7"/>
      <c r="BL10" s="12"/>
      <c r="BM10" s="3"/>
      <c r="BN10" s="3"/>
      <c r="BO10" s="12"/>
      <c r="BP10" s="12"/>
      <c r="BQ10" s="12"/>
      <c r="BR10" s="9"/>
      <c r="BS10" s="9"/>
      <c r="BT10" s="9"/>
      <c r="BU10" s="9"/>
      <c r="BV10" s="9"/>
    </row>
    <row r="11" spans="1:131" x14ac:dyDescent="0.2">
      <c r="A11" t="s">
        <v>98</v>
      </c>
      <c r="S11" s="9"/>
      <c r="T11" s="6"/>
      <c r="U11" s="6"/>
      <c r="V11" s="4"/>
      <c r="W11" s="7"/>
      <c r="X11" s="7"/>
      <c r="Y11" s="8"/>
      <c r="Z11" s="7"/>
      <c r="AA11" s="7"/>
      <c r="AB11" s="7"/>
      <c r="AI11" s="11"/>
      <c r="AJ11" s="4"/>
      <c r="AK11" s="6"/>
      <c r="AL11" s="6"/>
      <c r="AM11" s="11"/>
      <c r="AN11" s="2"/>
      <c r="AR11" s="3"/>
      <c r="AS11" s="3"/>
      <c r="AT11" s="2"/>
      <c r="AU11" s="2"/>
      <c r="AV11" s="2"/>
      <c r="AW11" s="2"/>
      <c r="AX11" s="2"/>
      <c r="AY11" s="3"/>
      <c r="AZ11" s="3"/>
      <c r="BA11" s="2"/>
      <c r="BB11" s="2"/>
      <c r="BC11" s="3"/>
      <c r="BD11" s="3"/>
      <c r="BE11" s="3"/>
      <c r="BF11" s="3"/>
      <c r="BG11" s="3"/>
      <c r="BH11" s="3"/>
      <c r="BI11" s="3"/>
      <c r="BK11" s="7"/>
      <c r="BL11" s="12"/>
      <c r="BM11" s="3"/>
      <c r="BN11" s="3"/>
      <c r="BO11" s="12"/>
      <c r="BP11" s="12"/>
      <c r="BQ11" s="12"/>
      <c r="BR11" s="9"/>
      <c r="BS11" s="9"/>
      <c r="BT11" s="9"/>
      <c r="BU11" s="9"/>
      <c r="BV11" s="9"/>
    </row>
    <row r="12" spans="1:131" x14ac:dyDescent="0.2">
      <c r="A12" t="s">
        <v>99</v>
      </c>
      <c r="S12" s="9"/>
      <c r="T12" s="6"/>
      <c r="U12" s="6"/>
      <c r="V12" s="4"/>
      <c r="W12" s="7"/>
      <c r="X12" s="7"/>
      <c r="Y12" s="8"/>
      <c r="Z12" s="7"/>
      <c r="AA12" s="7"/>
      <c r="AB12" s="7"/>
      <c r="AI12" s="11"/>
      <c r="AJ12" s="4"/>
      <c r="AK12" s="6"/>
      <c r="AL12" s="6"/>
      <c r="AM12" s="11"/>
      <c r="AN12" s="2"/>
      <c r="AR12" s="3"/>
      <c r="AS12" s="3"/>
      <c r="AT12" s="2"/>
      <c r="AU12" s="2"/>
      <c r="AV12" s="2"/>
      <c r="AW12" s="2"/>
      <c r="AX12" s="2"/>
      <c r="AY12" s="3"/>
      <c r="AZ12" s="3"/>
      <c r="BA12" s="2"/>
      <c r="BB12" s="2"/>
      <c r="BC12" s="3"/>
      <c r="BD12" s="3"/>
      <c r="BE12" s="3"/>
      <c r="BF12" s="3"/>
      <c r="BG12" s="3"/>
      <c r="BH12" s="3"/>
      <c r="BI12" s="3"/>
      <c r="BK12" s="7"/>
      <c r="BL12" s="12"/>
      <c r="BM12" s="3"/>
      <c r="BN12" s="3"/>
      <c r="BO12" s="12"/>
      <c r="BP12" s="12"/>
      <c r="BQ12" s="12"/>
      <c r="BR12" s="9"/>
      <c r="BS12" s="9"/>
      <c r="BT12" s="9"/>
      <c r="BU12" s="9"/>
      <c r="BV12" s="9"/>
    </row>
    <row r="13" spans="1:131" x14ac:dyDescent="0.2">
      <c r="A13" t="s">
        <v>100</v>
      </c>
      <c r="S13" s="9"/>
      <c r="T13" s="6"/>
      <c r="U13" s="6"/>
      <c r="V13" s="4"/>
      <c r="W13" s="7"/>
      <c r="X13" s="7"/>
      <c r="Y13" s="8"/>
      <c r="Z13" s="7"/>
      <c r="AA13" s="7"/>
      <c r="AB13" s="7"/>
      <c r="AI13" s="11"/>
      <c r="AJ13" s="4"/>
      <c r="AK13" s="6"/>
      <c r="AL13" s="6"/>
      <c r="AM13" s="11"/>
      <c r="AN13" s="2"/>
      <c r="AP13" s="15"/>
      <c r="AR13" s="3"/>
      <c r="AS13" s="3"/>
      <c r="AT13" s="2"/>
      <c r="AU13" s="2"/>
      <c r="AV13" s="2"/>
      <c r="AW13" s="2"/>
      <c r="AX13" s="2"/>
      <c r="AY13" s="3"/>
      <c r="AZ13" s="3"/>
      <c r="BA13" s="2"/>
      <c r="BB13" s="2"/>
      <c r="BC13" s="3"/>
      <c r="BD13" s="3"/>
      <c r="BE13" s="3"/>
      <c r="BF13" s="3"/>
      <c r="BG13" s="3"/>
      <c r="BH13" s="3"/>
      <c r="BI13" s="3"/>
      <c r="BK13" s="7"/>
      <c r="BL13" s="12"/>
      <c r="BM13" s="3"/>
      <c r="BN13" s="3"/>
      <c r="BO13" s="12"/>
      <c r="BP13" s="12"/>
      <c r="BQ13" s="12"/>
      <c r="BR13" s="9"/>
      <c r="BS13" s="9"/>
      <c r="BT13" s="9"/>
      <c r="BU13" s="9"/>
      <c r="BV13" s="9"/>
    </row>
    <row r="14" spans="1:131" x14ac:dyDescent="0.2">
      <c r="A14" t="s">
        <v>101</v>
      </c>
      <c r="S14" s="9"/>
      <c r="T14" s="6"/>
      <c r="U14" s="6"/>
      <c r="V14" s="4"/>
      <c r="W14" s="7"/>
      <c r="X14" s="7"/>
      <c r="Y14" s="8"/>
      <c r="Z14" s="7"/>
      <c r="AA14" s="7"/>
      <c r="AB14" s="7"/>
      <c r="AI14" s="11"/>
      <c r="AJ14" s="4"/>
      <c r="AK14" s="6"/>
      <c r="AL14" s="6"/>
      <c r="AM14" s="11"/>
      <c r="AN14" s="2"/>
      <c r="AP14" s="15"/>
      <c r="AR14" s="3"/>
      <c r="AS14" s="3"/>
      <c r="AT14" s="2"/>
      <c r="AU14" s="2"/>
      <c r="AV14" s="2"/>
      <c r="AW14" s="2"/>
      <c r="AX14" s="2"/>
      <c r="AY14" s="3"/>
      <c r="AZ14" s="3"/>
      <c r="BA14" s="2"/>
      <c r="BB14" s="2"/>
      <c r="BC14" s="3"/>
      <c r="BD14" s="3"/>
      <c r="BE14" s="3"/>
      <c r="BF14" s="3"/>
      <c r="BG14" s="3"/>
      <c r="BH14" s="3"/>
      <c r="BI14" s="3"/>
      <c r="BK14" s="7"/>
      <c r="BL14" s="12"/>
      <c r="BM14" s="3"/>
      <c r="BN14" s="3"/>
      <c r="BO14" s="12"/>
      <c r="BP14" s="12"/>
      <c r="BQ14" s="12"/>
      <c r="BR14" s="9"/>
      <c r="BS14" s="9"/>
      <c r="BT14" s="9"/>
      <c r="BU14" s="9"/>
      <c r="BV14" s="9"/>
    </row>
    <row r="15" spans="1:131" x14ac:dyDescent="0.2">
      <c r="A15" t="s">
        <v>89</v>
      </c>
      <c r="S15" s="9"/>
      <c r="T15" s="6"/>
      <c r="U15" s="6"/>
      <c r="V15" s="4"/>
      <c r="W15" s="7"/>
      <c r="X15" s="7"/>
      <c r="Y15" s="8"/>
      <c r="Z15" s="7"/>
      <c r="AA15" s="7"/>
      <c r="AB15" s="7"/>
      <c r="AI15" s="11"/>
      <c r="AJ15" s="4"/>
      <c r="AK15" s="6"/>
      <c r="AL15" s="6"/>
      <c r="AM15" s="11"/>
      <c r="AN15" s="2"/>
      <c r="AP15" s="15"/>
      <c r="AR15" s="3"/>
      <c r="AS15" s="3"/>
      <c r="AT15" s="2"/>
      <c r="AU15" s="2"/>
      <c r="AV15" s="2"/>
      <c r="AW15" s="2"/>
      <c r="AX15" s="2"/>
      <c r="AY15" s="3"/>
      <c r="AZ15" s="3"/>
      <c r="BA15" s="2"/>
      <c r="BB15" s="2"/>
      <c r="BC15" s="3"/>
      <c r="BD15" s="3"/>
      <c r="BE15" s="3"/>
      <c r="BF15" s="3"/>
      <c r="BG15" s="3"/>
      <c r="BH15" s="3"/>
      <c r="BI15" s="3"/>
      <c r="BK15" s="7"/>
      <c r="BL15" s="12"/>
      <c r="BM15" s="3"/>
      <c r="BN15" s="3"/>
      <c r="BO15" s="12"/>
      <c r="BP15" s="12"/>
      <c r="BQ15" s="12"/>
      <c r="BR15" s="9"/>
      <c r="BS15" s="9"/>
      <c r="BT15" s="9"/>
      <c r="BU15" s="9"/>
      <c r="BV15" s="9"/>
    </row>
    <row r="16" spans="1:131" x14ac:dyDescent="0.2">
      <c r="A16" t="s">
        <v>102</v>
      </c>
      <c r="S16" s="9"/>
      <c r="U16" s="6"/>
      <c r="AI16" s="11"/>
      <c r="AJ16" s="4"/>
      <c r="AK16" s="6"/>
      <c r="AL16" s="6"/>
      <c r="AM16" s="11"/>
      <c r="AN16" s="2"/>
      <c r="AR16" s="3"/>
      <c r="AS16" s="3"/>
      <c r="AT16" s="2"/>
      <c r="AU16" s="2"/>
      <c r="AV16" s="2"/>
      <c r="AW16" s="2"/>
      <c r="AX16" s="2"/>
      <c r="AY16" s="3"/>
      <c r="AZ16" s="3"/>
      <c r="BA16" s="2"/>
      <c r="BB16" s="2"/>
      <c r="BC16" s="3"/>
      <c r="BD16" s="3"/>
      <c r="BE16" s="3"/>
      <c r="BF16" s="3"/>
      <c r="BG16" s="3"/>
      <c r="BH16" s="3"/>
      <c r="BI16" s="3"/>
      <c r="BK16" s="7"/>
      <c r="BL16" s="12"/>
      <c r="BM16" s="3"/>
      <c r="BN16" s="3"/>
      <c r="BO16" s="12"/>
      <c r="BP16" s="12"/>
      <c r="BQ16" s="12"/>
      <c r="BR16" s="9"/>
      <c r="BS16" s="9"/>
      <c r="BT16" s="9"/>
      <c r="BU16" s="9"/>
      <c r="BV16" s="9"/>
    </row>
    <row r="17" spans="1:74" x14ac:dyDescent="0.2">
      <c r="A17" t="s">
        <v>103</v>
      </c>
      <c r="S17" s="9"/>
      <c r="T17" s="6"/>
      <c r="U17" s="6"/>
      <c r="V17" s="4"/>
      <c r="W17" s="7"/>
      <c r="X17" s="7"/>
      <c r="Y17" s="8"/>
      <c r="Z17" s="7"/>
      <c r="AA17" s="7"/>
      <c r="AB17" s="7"/>
      <c r="AI17" s="11"/>
      <c r="AJ17" s="4"/>
      <c r="AK17" s="6"/>
      <c r="AL17" s="6"/>
      <c r="AM17" s="11"/>
      <c r="AN17" s="2"/>
      <c r="AR17" s="3"/>
      <c r="AS17" s="3"/>
      <c r="AT17" s="2"/>
      <c r="AU17" s="2"/>
      <c r="AV17" s="2"/>
      <c r="AW17" s="2"/>
      <c r="AX17" s="2"/>
      <c r="AY17" s="3"/>
      <c r="AZ17" s="3"/>
      <c r="BA17" s="2"/>
      <c r="BB17" s="2"/>
      <c r="BC17" s="3"/>
      <c r="BD17" s="3"/>
      <c r="BE17" s="3"/>
      <c r="BF17" s="3"/>
      <c r="BG17" s="3"/>
      <c r="BH17" s="3"/>
      <c r="BI17" s="3"/>
      <c r="BK17" s="7"/>
      <c r="BL17" s="12"/>
      <c r="BM17" s="3"/>
      <c r="BN17" s="3"/>
      <c r="BO17" s="12"/>
      <c r="BP17" s="12"/>
      <c r="BQ17" s="12"/>
      <c r="BR17" s="9"/>
      <c r="BS17" s="9"/>
      <c r="BT17" s="9"/>
      <c r="BU17" s="9"/>
      <c r="BV17" s="9"/>
    </row>
    <row r="18" spans="1:74" x14ac:dyDescent="0.2">
      <c r="A18" t="s">
        <v>104</v>
      </c>
      <c r="S18" s="9"/>
      <c r="U18" s="6"/>
      <c r="AI18" s="11"/>
      <c r="AJ18" s="4"/>
      <c r="AK18" s="6"/>
      <c r="AL18" s="6"/>
      <c r="AM18" s="11"/>
      <c r="AN18" s="2"/>
      <c r="AR18" s="3"/>
      <c r="AS18" s="3"/>
      <c r="AT18" s="2"/>
      <c r="AU18" s="2"/>
      <c r="AV18" s="2"/>
      <c r="AW18" s="2"/>
      <c r="AX18" s="2"/>
      <c r="AY18" s="3"/>
      <c r="AZ18" s="3"/>
      <c r="BA18" s="2"/>
      <c r="BB18" s="2"/>
      <c r="BC18" s="3"/>
      <c r="BD18" s="3"/>
      <c r="BE18" s="3"/>
      <c r="BF18" s="3"/>
      <c r="BG18" s="3"/>
      <c r="BH18" s="3"/>
      <c r="BI18" s="3"/>
      <c r="BK18" s="7"/>
      <c r="BL18" s="12"/>
      <c r="BM18" s="3"/>
      <c r="BN18" s="3"/>
      <c r="BO18" s="12"/>
      <c r="BP18" s="12"/>
      <c r="BQ18" s="12"/>
      <c r="BR18" s="9"/>
      <c r="BS18" s="9"/>
      <c r="BT18" s="9"/>
      <c r="BU18" s="9"/>
      <c r="BV18" s="9"/>
    </row>
    <row r="19" spans="1:74" x14ac:dyDescent="0.2">
      <c r="A19" t="s">
        <v>105</v>
      </c>
      <c r="S19" s="9"/>
      <c r="U19" s="6"/>
      <c r="W19" s="10"/>
      <c r="X19" s="10"/>
      <c r="AI19" s="11"/>
      <c r="AJ19" s="4"/>
      <c r="AK19" s="6"/>
      <c r="AL19" s="6"/>
      <c r="AM19" s="11"/>
      <c r="AN19" s="2"/>
      <c r="AR19" s="3"/>
      <c r="AS19" s="3"/>
      <c r="AT19" s="2"/>
      <c r="AU19" s="2"/>
      <c r="AV19" s="2"/>
      <c r="AW19" s="2"/>
      <c r="AX19" s="2"/>
      <c r="AY19" s="3"/>
      <c r="AZ19" s="3"/>
      <c r="BA19" s="2"/>
      <c r="BB19" s="2"/>
      <c r="BC19" s="3"/>
      <c r="BD19" s="3"/>
      <c r="BE19" s="3"/>
      <c r="BF19" s="3"/>
      <c r="BG19" s="3"/>
      <c r="BH19" s="3"/>
      <c r="BI19" s="3"/>
      <c r="BK19" s="7"/>
      <c r="BL19" s="12"/>
      <c r="BM19" s="3"/>
      <c r="BN19" s="3"/>
      <c r="BO19" s="12"/>
      <c r="BP19" s="12"/>
      <c r="BQ19" s="12"/>
      <c r="BR19" s="9"/>
      <c r="BS19" s="9"/>
      <c r="BT19" s="9"/>
      <c r="BU19" s="9"/>
      <c r="BV19" s="9"/>
    </row>
    <row r="20" spans="1:74" x14ac:dyDescent="0.2">
      <c r="S20" s="9"/>
      <c r="U20" s="6"/>
      <c r="AI20" s="11"/>
      <c r="AJ20" s="4"/>
      <c r="AK20" s="6"/>
      <c r="AL20" s="6"/>
      <c r="AM20" s="11"/>
      <c r="AN20" s="2"/>
      <c r="AR20" s="3"/>
      <c r="AS20" s="2"/>
      <c r="AT20" s="2"/>
      <c r="AU20" s="2"/>
      <c r="AV20" s="2"/>
      <c r="AW20" s="2"/>
      <c r="AX20" s="2"/>
      <c r="AY20" s="3"/>
      <c r="AZ20" s="3"/>
      <c r="BA20" s="2"/>
      <c r="BB20" s="2"/>
      <c r="BC20" s="3"/>
      <c r="BD20" s="3"/>
      <c r="BE20" s="3"/>
      <c r="BF20" s="3"/>
      <c r="BG20" s="3"/>
      <c r="BH20" s="3"/>
      <c r="BI20" s="3"/>
      <c r="BK20" s="7"/>
      <c r="BL20" s="12"/>
      <c r="BM20" s="3"/>
      <c r="BN20" s="3"/>
      <c r="BO20" s="12"/>
      <c r="BP20" s="12"/>
      <c r="BQ20" s="12"/>
      <c r="BR20" s="9"/>
      <c r="BS20" s="9"/>
      <c r="BT20" s="9"/>
      <c r="BU20" s="9"/>
      <c r="BV20" s="9"/>
    </row>
    <row r="21" spans="1:74" x14ac:dyDescent="0.2">
      <c r="U21" s="4"/>
      <c r="V21" s="7"/>
      <c r="AI21" s="11"/>
      <c r="AJ21" s="4"/>
      <c r="AK21" s="6"/>
      <c r="AL21" s="6"/>
      <c r="AM21" s="6"/>
      <c r="AN21" s="6"/>
      <c r="AR21" s="3"/>
      <c r="AS21" s="2"/>
      <c r="AT21" s="2"/>
      <c r="AU21" s="2"/>
      <c r="AV21" s="2"/>
      <c r="AW21" s="2"/>
      <c r="AX21" s="2"/>
      <c r="AY21" s="3"/>
      <c r="AZ21" s="3"/>
      <c r="BA21" s="2"/>
      <c r="BB21" s="2"/>
      <c r="BC21" s="3"/>
      <c r="BD21" s="3"/>
      <c r="BE21" s="3"/>
      <c r="BF21" s="3"/>
      <c r="BG21" s="3"/>
      <c r="BH21" s="3"/>
      <c r="BI21" s="3"/>
      <c r="BK21" s="7"/>
      <c r="BL21" s="3"/>
      <c r="BM21" s="3"/>
      <c r="BN21" s="3"/>
    </row>
    <row r="22" spans="1:74" x14ac:dyDescent="0.2">
      <c r="V22" s="10"/>
      <c r="W22" s="10"/>
      <c r="X22" s="10"/>
      <c r="AC22" s="10"/>
      <c r="AD22" s="10"/>
      <c r="AE22" s="10"/>
      <c r="AI22" s="11"/>
      <c r="AJ22" s="10"/>
      <c r="BK22" s="10"/>
      <c r="BN22" s="3"/>
      <c r="BO22" s="3"/>
      <c r="BP22" s="12"/>
      <c r="BQ22" s="12"/>
      <c r="BR22" s="12"/>
      <c r="BS22" s="12"/>
      <c r="BT22" s="12"/>
      <c r="BU22" s="12"/>
      <c r="BV22" s="12"/>
    </row>
    <row r="23" spans="1:74" x14ac:dyDescent="0.2">
      <c r="AI23" s="11"/>
      <c r="AJ23" s="4"/>
      <c r="BK23" s="10"/>
      <c r="BN23" s="3"/>
      <c r="BO23" s="3"/>
      <c r="BP23" s="12"/>
      <c r="BQ23" s="12"/>
      <c r="BR23" s="12"/>
      <c r="BS23" s="12"/>
      <c r="BT23" s="12"/>
      <c r="BU23" s="12"/>
      <c r="BV23" s="12"/>
    </row>
    <row r="24" spans="1:74" x14ac:dyDescent="0.2">
      <c r="V24" s="14"/>
      <c r="BP24" s="13"/>
      <c r="BQ24" s="13"/>
      <c r="BR24" s="13"/>
      <c r="BS24" s="13"/>
      <c r="BT24" s="13"/>
      <c r="BU24" s="13"/>
      <c r="BV24" s="13"/>
    </row>
    <row r="25" spans="1:74" x14ac:dyDescent="0.2">
      <c r="BP25" s="13"/>
      <c r="BQ25" s="13"/>
      <c r="BR25" s="13"/>
      <c r="BS25" s="13"/>
      <c r="BT25" s="13"/>
      <c r="BU25" s="13"/>
      <c r="BV25"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B3969-4EDE-CE44-A06E-556616C7431F}">
  <dimension ref="A1:G15"/>
  <sheetViews>
    <sheetView workbookViewId="0">
      <selection activeCell="C2" sqref="C2"/>
    </sheetView>
  </sheetViews>
  <sheetFormatPr baseColWidth="10" defaultRowHeight="16" x14ac:dyDescent="0.2"/>
  <sheetData>
    <row r="1" spans="1:7" x14ac:dyDescent="0.2">
      <c r="A1" t="s">
        <v>0</v>
      </c>
      <c r="B1" t="s">
        <v>28</v>
      </c>
      <c r="C1" t="s">
        <v>29</v>
      </c>
      <c r="D1" t="s">
        <v>30</v>
      </c>
      <c r="G1" t="s">
        <v>47</v>
      </c>
    </row>
    <row r="2" spans="1:7" x14ac:dyDescent="0.2">
      <c r="A2" t="s">
        <v>1</v>
      </c>
      <c r="B2">
        <f>'By site visit'!AW2/'By site'!CA3</f>
        <v>0</v>
      </c>
      <c r="C2" t="e">
        <f>'By site'!AZ3/'By site visit'!AM2</f>
        <v>#DIV/0!</v>
      </c>
      <c r="D2" t="e">
        <f>B2/C2</f>
        <v>#DIV/0!</v>
      </c>
      <c r="G2" s="9">
        <f>'By site visit'!AO2/'By site'!AZ3-1</f>
        <v>-1</v>
      </c>
    </row>
    <row r="3" spans="1:7" x14ac:dyDescent="0.2">
      <c r="A3" t="s">
        <v>2</v>
      </c>
      <c r="B3">
        <f>'By site visit'!AW3/'By site'!CA4</f>
        <v>69.232100950155527</v>
      </c>
      <c r="C3">
        <f>'By site'!AZ4/'By site visit'!AM3</f>
        <v>8.6630210137457174E-6</v>
      </c>
      <c r="D3">
        <f t="shared" ref="D3:D15" si="0">B3/C3</f>
        <v>7991681.0591021469</v>
      </c>
      <c r="G3" s="9" t="e">
        <f>'By site visit'!AO3/'By site'!AZ4-1</f>
        <v>#VALUE!</v>
      </c>
    </row>
    <row r="4" spans="1:7" x14ac:dyDescent="0.2">
      <c r="A4" t="s">
        <v>21</v>
      </c>
      <c r="B4">
        <f>'By site visit'!AW4/'By site'!CA5</f>
        <v>0</v>
      </c>
      <c r="C4" t="e">
        <f>'By site'!AZ5/'By site visit'!AM4</f>
        <v>#DIV/0!</v>
      </c>
      <c r="D4" t="e">
        <f t="shared" si="0"/>
        <v>#DIV/0!</v>
      </c>
      <c r="G4" s="9">
        <f>'By site visit'!AO4/'By site'!AZ5-1</f>
        <v>-1</v>
      </c>
    </row>
    <row r="5" spans="1:7" x14ac:dyDescent="0.2">
      <c r="A5" t="s">
        <v>3</v>
      </c>
      <c r="B5">
        <f>'By site visit'!AW5/'By site'!CA6</f>
        <v>0</v>
      </c>
      <c r="C5" t="e">
        <f>'By site'!AZ6/'By site visit'!AM5</f>
        <v>#DIV/0!</v>
      </c>
      <c r="D5" t="e">
        <f t="shared" si="0"/>
        <v>#DIV/0!</v>
      </c>
      <c r="G5" s="9">
        <f>'By site visit'!AO5/'By site'!AZ6-1</f>
        <v>-1</v>
      </c>
    </row>
    <row r="6" spans="1:7" x14ac:dyDescent="0.2">
      <c r="A6" t="s">
        <v>4</v>
      </c>
      <c r="B6">
        <f>'By site visit'!AW6/'By site'!CA7</f>
        <v>0</v>
      </c>
      <c r="C6" t="e">
        <f>'By site'!AZ7/'By site visit'!AM6</f>
        <v>#DIV/0!</v>
      </c>
      <c r="D6" t="e">
        <f t="shared" si="0"/>
        <v>#DIV/0!</v>
      </c>
      <c r="G6" s="9">
        <f>'By site visit'!AO6/'By site'!AZ7-1</f>
        <v>-1</v>
      </c>
    </row>
    <row r="7" spans="1:7" x14ac:dyDescent="0.2">
      <c r="A7" t="s">
        <v>8</v>
      </c>
      <c r="B7" t="e">
        <f>'By site visit'!AW7/'By site'!#REF!</f>
        <v>#REF!</v>
      </c>
      <c r="C7" t="e">
        <f>'By site'!#REF!/'By site visit'!AM7</f>
        <v>#REF!</v>
      </c>
      <c r="D7" t="e">
        <f t="shared" si="0"/>
        <v>#REF!</v>
      </c>
      <c r="G7" s="9">
        <f>'By site visit'!AO7/'By site'!AZ8-1</f>
        <v>-1</v>
      </c>
    </row>
    <row r="8" spans="1:7" x14ac:dyDescent="0.2">
      <c r="A8" t="s">
        <v>6</v>
      </c>
      <c r="B8">
        <f>'By site visit'!AW8/'By site'!CA10</f>
        <v>0</v>
      </c>
      <c r="C8" t="e">
        <f>'By site'!AZ10/'By site visit'!AM8</f>
        <v>#DIV/0!</v>
      </c>
      <c r="D8" t="e">
        <f t="shared" si="0"/>
        <v>#DIV/0!</v>
      </c>
      <c r="G8" s="9">
        <f>'By site visit'!AO8/'By site'!AZ9-1</f>
        <v>-1</v>
      </c>
    </row>
    <row r="9" spans="1:7" x14ac:dyDescent="0.2">
      <c r="A9" t="s">
        <v>5</v>
      </c>
      <c r="B9">
        <f>'By site visit'!AW9/'By site'!CA11</f>
        <v>0</v>
      </c>
      <c r="C9" t="e">
        <f>'By site'!AZ11/'By site visit'!AM9</f>
        <v>#DIV/0!</v>
      </c>
      <c r="D9" t="e">
        <f t="shared" si="0"/>
        <v>#DIV/0!</v>
      </c>
      <c r="G9" s="9" t="e">
        <f>'By site visit'!AO9/'By site'!#REF!-1</f>
        <v>#REF!</v>
      </c>
    </row>
    <row r="10" spans="1:7" x14ac:dyDescent="0.2">
      <c r="A10" t="s">
        <v>7</v>
      </c>
      <c r="B10">
        <f>'By site visit'!AW10/'By site'!CA12</f>
        <v>0</v>
      </c>
      <c r="C10" t="e">
        <f>'By site'!AZ12/'By site visit'!AM10</f>
        <v>#DIV/0!</v>
      </c>
      <c r="D10" t="e">
        <f t="shared" si="0"/>
        <v>#DIV/0!</v>
      </c>
      <c r="G10" s="9">
        <f>'By site visit'!AO10/'By site'!AZ10-1</f>
        <v>-1</v>
      </c>
    </row>
    <row r="11" spans="1:7" x14ac:dyDescent="0.2">
      <c r="A11" t="s">
        <v>9</v>
      </c>
      <c r="B11">
        <f>'By site visit'!AW11/'By site'!CA13</f>
        <v>0</v>
      </c>
      <c r="C11" t="e">
        <f>'By site'!AZ13/'By site visit'!AM11</f>
        <v>#DIV/0!</v>
      </c>
      <c r="D11" t="e">
        <f t="shared" si="0"/>
        <v>#DIV/0!</v>
      </c>
      <c r="G11" s="9">
        <f>'By site visit'!AO11/'By site'!AZ11-1</f>
        <v>-1</v>
      </c>
    </row>
    <row r="12" spans="1:7" x14ac:dyDescent="0.2">
      <c r="A12" t="s">
        <v>10</v>
      </c>
      <c r="B12">
        <f>'By site visit'!AW12/'By site'!CA14</f>
        <v>0</v>
      </c>
      <c r="C12" t="e">
        <f>'By site'!AZ14/'By site visit'!AM12</f>
        <v>#DIV/0!</v>
      </c>
      <c r="D12" t="e">
        <f t="shared" si="0"/>
        <v>#DIV/0!</v>
      </c>
      <c r="G12" s="9">
        <f>'By site visit'!AO12/'By site'!AZ12-1</f>
        <v>-1</v>
      </c>
    </row>
    <row r="13" spans="1:7" x14ac:dyDescent="0.2">
      <c r="A13" t="s">
        <v>11</v>
      </c>
      <c r="B13">
        <f>'By site visit'!AW13/'By site'!CA15</f>
        <v>0</v>
      </c>
      <c r="C13" t="e">
        <f>'By site'!AZ15/'By site visit'!AM13</f>
        <v>#DIV/0!</v>
      </c>
      <c r="D13" t="e">
        <f t="shared" si="0"/>
        <v>#DIV/0!</v>
      </c>
      <c r="G13" s="9">
        <f>'By site visit'!AO13/'By site'!AZ13-1</f>
        <v>-1</v>
      </c>
    </row>
    <row r="14" spans="1:7" x14ac:dyDescent="0.2">
      <c r="A14" t="s">
        <v>12</v>
      </c>
      <c r="B14">
        <f>'By site visit'!AW14/'By site'!CA16</f>
        <v>0</v>
      </c>
      <c r="C14" t="e">
        <f>'By site'!AZ16/'By site visit'!AM14</f>
        <v>#DIV/0!</v>
      </c>
      <c r="D14" t="e">
        <f t="shared" si="0"/>
        <v>#DIV/0!</v>
      </c>
      <c r="G14" s="9">
        <f>'By site visit'!AO14/'By site'!AZ14-1</f>
        <v>-1</v>
      </c>
    </row>
    <row r="15" spans="1:7" x14ac:dyDescent="0.2">
      <c r="A15" t="s">
        <v>13</v>
      </c>
      <c r="B15">
        <f>'By site visit'!AW15/'By site'!CA17</f>
        <v>0</v>
      </c>
      <c r="C15" t="e">
        <f>'By site'!AZ17/'By site visit'!AM15</f>
        <v>#DIV/0!</v>
      </c>
      <c r="D15" t="e">
        <f t="shared" si="0"/>
        <v>#DIV/0!</v>
      </c>
      <c r="G15" s="9">
        <f>'By site visit'!AO15/'By site'!AZ15-1</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By site</vt:lpstr>
      <vt:lpstr>Tables for paper</vt:lpstr>
      <vt:lpstr>By site visit</vt:lpstr>
      <vt:lpstr>By site no strat</vt:lpstr>
      <vt:lpstr>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2022-04-13T21:50:29Z</dcterms:created>
  <dcterms:modified xsi:type="dcterms:W3CDTF">2023-08-16T18:03:38Z</dcterms:modified>
</cp:coreProperties>
</file>