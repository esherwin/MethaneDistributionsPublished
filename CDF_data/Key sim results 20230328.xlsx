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EBA97E71-296E-F54E-BB17-5C8CAC303527}" xr6:coauthVersionLast="47" xr6:coauthVersionMax="47" xr10:uidLastSave="{00000000-0000-0000-0000-000000000000}"/>
  <bookViews>
    <workbookView xWindow="8880" yWindow="460" windowWidth="29460" windowHeight="17080" xr2:uid="{DA729304-F74A-A044-AD1E-035DDE35C875}"/>
  </bookViews>
  <sheets>
    <sheet name="By site" sheetId="1" r:id="rId1"/>
    <sheet name="Tables for paper" sheetId="8" r:id="rId2"/>
    <sheet name="GHGRP gas comp" sheetId="7" r:id="rId3"/>
    <sheet name="By site visit" sheetId="2" r:id="rId4"/>
    <sheet name="By site no strat" sheetId="4" r:id="rId5"/>
    <sheet name="Aerial by source" sheetId="6" r:id="rId6"/>
    <sheet name="Well share by basin quantile" sheetId="5" r:id="rId7"/>
    <sheet name="Comparison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21" i="1" l="1"/>
  <c r="AY21" i="1"/>
  <c r="AX21" i="1"/>
  <c r="U33" i="1"/>
  <c r="AB29" i="1"/>
  <c r="W29" i="1"/>
  <c r="V29" i="1"/>
  <c r="U29" i="1"/>
  <c r="C46" i="8" a="1"/>
  <c r="C46" i="8" s="1"/>
  <c r="B46" i="8" a="1"/>
  <c r="B46" i="8" s="1"/>
  <c r="V24" i="8" a="1"/>
  <c r="V24" i="8" s="1"/>
  <c r="W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B44" i="8"/>
  <c r="D4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L2" i="8" a="1"/>
  <c r="L2" i="8" s="1"/>
  <c r="M2" i="8" a="1"/>
  <c r="M2" i="8" s="1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Q2" i="8" a="1"/>
  <c r="Q2" i="8" s="1"/>
  <c r="P2" i="8" a="1"/>
  <c r="P2" i="8" s="1"/>
  <c r="O2" i="8" a="1"/>
  <c r="O2" i="8" s="1"/>
  <c r="N2" i="8" a="1"/>
  <c r="N2" i="8" s="1"/>
  <c r="I21" i="8"/>
  <c r="I20" i="8"/>
  <c r="I19" i="8"/>
  <c r="I18" i="8"/>
  <c r="I17" i="8"/>
  <c r="E2" i="8" a="1"/>
  <c r="E2" i="8" s="1"/>
  <c r="D2" i="8" a="1"/>
  <c r="D2" i="8" s="1"/>
  <c r="C2" i="8" a="1"/>
  <c r="C2" i="8" s="1"/>
  <c r="B2" i="8" a="1"/>
  <c r="B2" i="8" s="1"/>
  <c r="BW21" i="1"/>
  <c r="BV21" i="1"/>
  <c r="CH27" i="1"/>
  <c r="CH28" i="1" s="1"/>
  <c r="BR28" i="1"/>
  <c r="AQ28" i="1"/>
  <c r="AI28" i="1"/>
  <c r="AD28" i="1"/>
  <c r="AC28" i="1"/>
  <c r="AB28" i="1"/>
  <c r="W28" i="1"/>
  <c r="V28" i="1"/>
  <c r="U28" i="1"/>
  <c r="BV27" i="1"/>
  <c r="BR27" i="1"/>
  <c r="AQ27" i="1"/>
  <c r="AI27" i="1"/>
  <c r="AD27" i="1"/>
  <c r="AC27" i="1"/>
  <c r="AB27" i="1"/>
  <c r="W27" i="1"/>
  <c r="V27" i="1"/>
  <c r="U27" i="1"/>
  <c r="W26" i="8" l="1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P30" i="1" l="1"/>
  <c r="U40" i="1"/>
  <c r="AA37" i="1"/>
  <c r="BJ21" i="1"/>
  <c r="BK32" i="7"/>
  <c r="AJ32" i="7"/>
  <c r="AE32" i="7"/>
  <c r="AD32" i="7"/>
  <c r="AC32" i="7"/>
  <c r="AB32" i="7"/>
  <c r="AA32" i="7"/>
  <c r="Z32" i="7"/>
  <c r="X32" i="7"/>
  <c r="W32" i="7"/>
  <c r="BK31" i="7"/>
  <c r="AJ31" i="7"/>
  <c r="AE31" i="7"/>
  <c r="AD31" i="7"/>
  <c r="AC31" i="7"/>
  <c r="AB31" i="7"/>
  <c r="AA31" i="7"/>
  <c r="Z31" i="7"/>
  <c r="X31" i="7"/>
  <c r="W31" i="7"/>
  <c r="BK30" i="7"/>
  <c r="AJ30" i="7"/>
  <c r="AE30" i="7"/>
  <c r="AD30" i="7"/>
  <c r="AC30" i="7"/>
  <c r="AB30" i="7"/>
  <c r="AA30" i="7"/>
  <c r="Z30" i="7"/>
  <c r="X30" i="7"/>
  <c r="W30" i="7"/>
  <c r="V28" i="7"/>
  <c r="Q28" i="7"/>
  <c r="P28" i="7"/>
  <c r="O28" i="7"/>
  <c r="BK27" i="7"/>
  <c r="AJ27" i="7"/>
  <c r="AC27" i="7"/>
  <c r="X27" i="7"/>
  <c r="W27" i="7"/>
  <c r="V27" i="7"/>
  <c r="Q27" i="7"/>
  <c r="P27" i="7"/>
  <c r="O27" i="7"/>
  <c r="BK26" i="7"/>
  <c r="AJ26" i="7"/>
  <c r="AC26" i="7"/>
  <c r="X26" i="7"/>
  <c r="W26" i="7"/>
  <c r="V26" i="7"/>
  <c r="V25" i="7" s="1"/>
  <c r="Q26" i="7"/>
  <c r="P26" i="7"/>
  <c r="O26" i="7"/>
  <c r="AX20" i="7"/>
  <c r="W33" i="1"/>
  <c r="V33" i="1"/>
  <c r="BR33" i="1"/>
  <c r="BR32" i="1"/>
  <c r="BR31" i="1"/>
  <c r="AC33" i="1"/>
  <c r="AC32" i="1"/>
  <c r="AC31" i="1"/>
  <c r="AD33" i="1"/>
  <c r="AD32" i="1"/>
  <c r="AD31" i="1"/>
  <c r="AQ33" i="1"/>
  <c r="AQ32" i="1"/>
  <c r="AQ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AW21" i="2"/>
  <c r="BX20" i="2"/>
  <c r="BV20" i="2"/>
  <c r="AO20" i="2" s="1"/>
  <c r="BU20" i="2"/>
  <c r="BT20" i="2"/>
  <c r="BP20" i="2"/>
  <c r="BS20" i="2" s="1"/>
  <c r="BO20" i="2"/>
  <c r="BR20" i="2" s="1"/>
  <c r="BN20" i="2"/>
  <c r="BQ20" i="2" s="1"/>
  <c r="BM20" i="2"/>
  <c r="BL20" i="2"/>
  <c r="BK20" i="2"/>
  <c r="BJ20" i="2"/>
  <c r="BI20" i="2"/>
  <c r="BH20" i="2"/>
  <c r="BG20" i="2"/>
  <c r="BF20" i="2"/>
  <c r="BE20" i="2"/>
  <c r="BD20" i="2"/>
  <c r="BC20" i="2"/>
  <c r="BB20" i="2"/>
  <c r="AW20" i="2"/>
  <c r="AU20" i="2"/>
  <c r="AV20" i="2" s="1"/>
  <c r="AT20" i="2"/>
  <c r="AS20" i="2"/>
  <c r="AR20" i="2"/>
  <c r="AQ20" i="2"/>
  <c r="AK20" i="2"/>
  <c r="AM20" i="2" s="1"/>
  <c r="AJ20" i="2"/>
  <c r="BX19" i="2"/>
  <c r="BW19" i="2"/>
  <c r="BV19" i="2"/>
  <c r="AP19" i="2" s="1"/>
  <c r="BU19" i="2"/>
  <c r="BT19" i="2"/>
  <c r="BP19" i="2"/>
  <c r="BS19" i="2" s="1"/>
  <c r="BO19" i="2"/>
  <c r="BR19" i="2" s="1"/>
  <c r="BN19" i="2"/>
  <c r="BQ19" i="2" s="1"/>
  <c r="BM19" i="2"/>
  <c r="BL19" i="2"/>
  <c r="BK19" i="2"/>
  <c r="BJ19" i="2"/>
  <c r="BI19" i="2"/>
  <c r="BH19" i="2"/>
  <c r="BG19" i="2"/>
  <c r="BF19" i="2"/>
  <c r="BE19" i="2"/>
  <c r="BD19" i="2"/>
  <c r="BC19" i="2"/>
  <c r="BB19" i="2"/>
  <c r="AW19" i="2"/>
  <c r="AX19" i="2" s="1"/>
  <c r="AU19" i="2"/>
  <c r="AT19" i="2"/>
  <c r="AS19" i="2"/>
  <c r="AR19" i="2"/>
  <c r="AQ19" i="2"/>
  <c r="AO19" i="2"/>
  <c r="AN19" i="2"/>
  <c r="AL19" i="2"/>
  <c r="AK19" i="2"/>
  <c r="AM19" i="2" s="1"/>
  <c r="AJ19" i="2"/>
  <c r="BX18" i="2"/>
  <c r="BV18" i="2"/>
  <c r="BW18" i="2" s="1"/>
  <c r="BU18" i="2"/>
  <c r="BT18" i="2"/>
  <c r="BP18" i="2"/>
  <c r="BS18" i="2" s="1"/>
  <c r="BO18" i="2"/>
  <c r="BR18" i="2" s="1"/>
  <c r="BN18" i="2"/>
  <c r="BQ18" i="2" s="1"/>
  <c r="BL18" i="2"/>
  <c r="BK18" i="2"/>
  <c r="BJ18" i="2"/>
  <c r="BM18" i="2" s="1"/>
  <c r="BI18" i="2"/>
  <c r="BH18" i="2"/>
  <c r="BG18" i="2"/>
  <c r="BF18" i="2"/>
  <c r="BE18" i="2"/>
  <c r="BD18" i="2"/>
  <c r="BC18" i="2"/>
  <c r="BB18" i="2"/>
  <c r="AW18" i="2"/>
  <c r="AY18" i="2" s="1"/>
  <c r="AU18" i="2"/>
  <c r="AT18" i="2"/>
  <c r="AS18" i="2"/>
  <c r="AR18" i="2"/>
  <c r="AQ18" i="2"/>
  <c r="AP18" i="2"/>
  <c r="AL18" i="2"/>
  <c r="AK18" i="2"/>
  <c r="AM18" i="2" s="1"/>
  <c r="AJ18" i="2"/>
  <c r="BX17" i="2"/>
  <c r="BW17" i="2"/>
  <c r="BV17" i="2"/>
  <c r="AO17" i="2" s="1"/>
  <c r="BU17" i="2"/>
  <c r="BT17" i="2"/>
  <c r="BQ17" i="2"/>
  <c r="BP17" i="2"/>
  <c r="BS17" i="2" s="1"/>
  <c r="BO17" i="2"/>
  <c r="BR17" i="2" s="1"/>
  <c r="BN17" i="2"/>
  <c r="BL17" i="2"/>
  <c r="BK17" i="2"/>
  <c r="BJ17" i="2"/>
  <c r="BM17" i="2" s="1"/>
  <c r="BI17" i="2"/>
  <c r="BH17" i="2"/>
  <c r="BG17" i="2"/>
  <c r="BF17" i="2"/>
  <c r="BE17" i="2"/>
  <c r="BD17" i="2"/>
  <c r="BC17" i="2"/>
  <c r="BB17" i="2"/>
  <c r="BA17" i="2"/>
  <c r="AY17" i="2"/>
  <c r="AX17" i="2"/>
  <c r="AZ17" i="2" s="1"/>
  <c r="AW17" i="2"/>
  <c r="AU17" i="2"/>
  <c r="AT17" i="2"/>
  <c r="AS17" i="2"/>
  <c r="AR17" i="2"/>
  <c r="AQ17" i="2"/>
  <c r="AV17" i="2" s="1"/>
  <c r="AP17" i="2"/>
  <c r="AN17" i="2"/>
  <c r="AK17" i="2"/>
  <c r="AM17" i="2" s="1"/>
  <c r="AJ17" i="2"/>
  <c r="BX16" i="2"/>
  <c r="BV16" i="2"/>
  <c r="BW16" i="2" s="1"/>
  <c r="BU16" i="2"/>
  <c r="BT16" i="2"/>
  <c r="BR16" i="2"/>
  <c r="BP16" i="2"/>
  <c r="BS16" i="2" s="1"/>
  <c r="BO16" i="2"/>
  <c r="BN16" i="2"/>
  <c r="BQ16" i="2" s="1"/>
  <c r="BL16" i="2"/>
  <c r="BK16" i="2"/>
  <c r="BJ16" i="2"/>
  <c r="BM16" i="2" s="1"/>
  <c r="BI16" i="2"/>
  <c r="BH16" i="2"/>
  <c r="BG16" i="2"/>
  <c r="BF16" i="2"/>
  <c r="BE16" i="2"/>
  <c r="BD16" i="2"/>
  <c r="BC16" i="2"/>
  <c r="BB16" i="2"/>
  <c r="AW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BX15" i="2"/>
  <c r="BV15" i="2"/>
  <c r="BW15" i="2" s="1"/>
  <c r="BU15" i="2"/>
  <c r="BT15" i="2"/>
  <c r="BP15" i="2"/>
  <c r="BS15" i="2" s="1"/>
  <c r="BO15" i="2"/>
  <c r="BR15" i="2" s="1"/>
  <c r="BN15" i="2"/>
  <c r="BQ15" i="2" s="1"/>
  <c r="BM15" i="2"/>
  <c r="BL15" i="2"/>
  <c r="BK15" i="2"/>
  <c r="BJ15" i="2"/>
  <c r="BI15" i="2"/>
  <c r="BH15" i="2"/>
  <c r="BG15" i="2"/>
  <c r="BF15" i="2"/>
  <c r="BE15" i="2"/>
  <c r="BD15" i="2"/>
  <c r="BC15" i="2"/>
  <c r="BB15" i="2"/>
  <c r="AW15" i="2"/>
  <c r="AU15" i="2"/>
  <c r="AT15" i="2"/>
  <c r="AS15" i="2"/>
  <c r="AR15" i="2"/>
  <c r="AQ15" i="2"/>
  <c r="AK15" i="2"/>
  <c r="AL15" i="2" s="1"/>
  <c r="AJ15" i="2"/>
  <c r="BX14" i="2"/>
  <c r="BV14" i="2"/>
  <c r="AO14" i="2" s="1"/>
  <c r="BU14" i="2"/>
  <c r="BT14" i="2"/>
  <c r="BP14" i="2"/>
  <c r="BS14" i="2" s="1"/>
  <c r="BO14" i="2"/>
  <c r="BR14" i="2" s="1"/>
  <c r="BN14" i="2"/>
  <c r="BQ14" i="2" s="1"/>
  <c r="BL14" i="2"/>
  <c r="BK14" i="2"/>
  <c r="BJ14" i="2"/>
  <c r="BM14" i="2" s="1"/>
  <c r="BI14" i="2"/>
  <c r="BH14" i="2"/>
  <c r="BG14" i="2"/>
  <c r="BF14" i="2"/>
  <c r="BE14" i="2"/>
  <c r="BD14" i="2"/>
  <c r="BC14" i="2"/>
  <c r="BB14" i="2"/>
  <c r="AX14" i="2"/>
  <c r="AW14" i="2"/>
  <c r="AV14" i="2"/>
  <c r="AU14" i="2"/>
  <c r="AT14" i="2"/>
  <c r="AS14" i="2"/>
  <c r="AR14" i="2"/>
  <c r="AQ14" i="2"/>
  <c r="AL14" i="2"/>
  <c r="AK14" i="2"/>
  <c r="AM14" i="2" s="1"/>
  <c r="AJ14" i="2"/>
  <c r="BX13" i="2"/>
  <c r="BW13" i="2"/>
  <c r="BV13" i="2"/>
  <c r="AN13" i="2" s="1"/>
  <c r="BU13" i="2"/>
  <c r="BT13" i="2"/>
  <c r="BS13" i="2"/>
  <c r="BP13" i="2"/>
  <c r="BO13" i="2"/>
  <c r="BR13" i="2" s="1"/>
  <c r="BN13" i="2"/>
  <c r="BQ13" i="2" s="1"/>
  <c r="BL13" i="2"/>
  <c r="BK13" i="2"/>
  <c r="BJ13" i="2"/>
  <c r="BM13" i="2" s="1"/>
  <c r="BI13" i="2"/>
  <c r="BH13" i="2"/>
  <c r="BG13" i="2"/>
  <c r="BF13" i="2"/>
  <c r="BE13" i="2"/>
  <c r="BD13" i="2"/>
  <c r="BC13" i="2"/>
  <c r="BB13" i="2"/>
  <c r="AW13" i="2"/>
  <c r="AU13" i="2"/>
  <c r="AT13" i="2"/>
  <c r="AS13" i="2"/>
  <c r="AR13" i="2"/>
  <c r="AQ13" i="2"/>
  <c r="AP13" i="2"/>
  <c r="AO13" i="2"/>
  <c r="AK13" i="2"/>
  <c r="AM13" i="2" s="1"/>
  <c r="AJ13" i="2"/>
  <c r="BX12" i="2"/>
  <c r="BV12" i="2"/>
  <c r="AO12" i="2" s="1"/>
  <c r="BU12" i="2"/>
  <c r="BT12" i="2"/>
  <c r="BP12" i="2"/>
  <c r="BS12" i="2" s="1"/>
  <c r="BO12" i="2"/>
  <c r="BR12" i="2" s="1"/>
  <c r="BN12" i="2"/>
  <c r="BQ12" i="2" s="1"/>
  <c r="BL12" i="2"/>
  <c r="BK12" i="2"/>
  <c r="BJ12" i="2"/>
  <c r="BM12" i="2" s="1"/>
  <c r="BI12" i="2"/>
  <c r="BH12" i="2"/>
  <c r="BG12" i="2"/>
  <c r="BF12" i="2"/>
  <c r="BE12" i="2"/>
  <c r="BD12" i="2"/>
  <c r="BC12" i="2"/>
  <c r="BB12" i="2"/>
  <c r="AW12" i="2"/>
  <c r="AY12" i="2" s="1"/>
  <c r="AU12" i="2"/>
  <c r="AT12" i="2"/>
  <c r="AS12" i="2"/>
  <c r="AR12" i="2"/>
  <c r="AQ12" i="2"/>
  <c r="AV12" i="2" s="1"/>
  <c r="AP12" i="2"/>
  <c r="AK12" i="2"/>
  <c r="AM12" i="2" s="1"/>
  <c r="AJ12" i="2"/>
  <c r="BX11" i="2"/>
  <c r="BV11" i="2"/>
  <c r="BW11" i="2" s="1"/>
  <c r="BU11" i="2"/>
  <c r="BT11" i="2"/>
  <c r="BQ11" i="2"/>
  <c r="BP11" i="2"/>
  <c r="BS11" i="2" s="1"/>
  <c r="BO11" i="2"/>
  <c r="BR11" i="2" s="1"/>
  <c r="BN11" i="2"/>
  <c r="BL11" i="2"/>
  <c r="BK11" i="2"/>
  <c r="BJ11" i="2"/>
  <c r="BM11" i="2" s="1"/>
  <c r="BI11" i="2"/>
  <c r="BH11" i="2"/>
  <c r="BG11" i="2"/>
  <c r="BF11" i="2"/>
  <c r="BE11" i="2"/>
  <c r="BD11" i="2"/>
  <c r="BC11" i="2"/>
  <c r="BB11" i="2"/>
  <c r="AW11" i="2"/>
  <c r="AX11" i="2" s="1"/>
  <c r="AU11" i="2"/>
  <c r="AT11" i="2"/>
  <c r="AS11" i="2"/>
  <c r="AR11" i="2"/>
  <c r="AQ11" i="2"/>
  <c r="AV11" i="2" s="1"/>
  <c r="AP11" i="2"/>
  <c r="AO11" i="2"/>
  <c r="AN11" i="2"/>
  <c r="AL11" i="2"/>
  <c r="AK11" i="2"/>
  <c r="AM11" i="2" s="1"/>
  <c r="AJ11" i="2"/>
  <c r="BX10" i="2"/>
  <c r="BV10" i="2"/>
  <c r="BW10" i="2" s="1"/>
  <c r="BU10" i="2"/>
  <c r="BT10" i="2"/>
  <c r="BR10" i="2"/>
  <c r="BP10" i="2"/>
  <c r="BS10" i="2" s="1"/>
  <c r="BO10" i="2"/>
  <c r="BN10" i="2"/>
  <c r="BQ10" i="2" s="1"/>
  <c r="BL10" i="2"/>
  <c r="BK10" i="2"/>
  <c r="BJ10" i="2"/>
  <c r="BM10" i="2" s="1"/>
  <c r="BI10" i="2"/>
  <c r="BH10" i="2"/>
  <c r="BG10" i="2"/>
  <c r="BF10" i="2"/>
  <c r="BE10" i="2"/>
  <c r="BD10" i="2"/>
  <c r="BC10" i="2"/>
  <c r="BB10" i="2"/>
  <c r="AX10" i="2"/>
  <c r="AZ10" i="2" s="1"/>
  <c r="AW10" i="2"/>
  <c r="AY10" i="2" s="1"/>
  <c r="BA10" i="2" s="1"/>
  <c r="AU10" i="2"/>
  <c r="AT10" i="2"/>
  <c r="AS10" i="2"/>
  <c r="AR10" i="2"/>
  <c r="AQ10" i="2"/>
  <c r="AV10" i="2" s="1"/>
  <c r="AP10" i="2"/>
  <c r="AM10" i="2"/>
  <c r="AL10" i="2"/>
  <c r="AK10" i="2"/>
  <c r="AJ10" i="2"/>
  <c r="BX8" i="2"/>
  <c r="BV8" i="2"/>
  <c r="AO8" i="2" s="1"/>
  <c r="BU8" i="2"/>
  <c r="BT8" i="2"/>
  <c r="BS8" i="2"/>
  <c r="BP8" i="2"/>
  <c r="BO8" i="2"/>
  <c r="BR8" i="2" s="1"/>
  <c r="BN8" i="2"/>
  <c r="BQ8" i="2" s="1"/>
  <c r="BL8" i="2"/>
  <c r="BK8" i="2"/>
  <c r="BJ8" i="2"/>
  <c r="BM8" i="2" s="1"/>
  <c r="BI8" i="2"/>
  <c r="BH8" i="2"/>
  <c r="BG8" i="2"/>
  <c r="BF8" i="2"/>
  <c r="BE8" i="2"/>
  <c r="BD8" i="2"/>
  <c r="BC8" i="2"/>
  <c r="BB8" i="2"/>
  <c r="AW8" i="2"/>
  <c r="AU8" i="2"/>
  <c r="AT8" i="2"/>
  <c r="AS8" i="2"/>
  <c r="AR8" i="2"/>
  <c r="AQ8" i="2"/>
  <c r="AK8" i="2"/>
  <c r="AM8" i="2" s="1"/>
  <c r="AJ8" i="2"/>
  <c r="BX7" i="2"/>
  <c r="BV7" i="2"/>
  <c r="AP7" i="2" s="1"/>
  <c r="BU7" i="2"/>
  <c r="BT7" i="2"/>
  <c r="BP7" i="2"/>
  <c r="BS7" i="2" s="1"/>
  <c r="BO7" i="2"/>
  <c r="BR7" i="2" s="1"/>
  <c r="BN7" i="2"/>
  <c r="BQ7" i="2" s="1"/>
  <c r="BL7" i="2"/>
  <c r="BK7" i="2"/>
  <c r="BJ7" i="2"/>
  <c r="BM7" i="2" s="1"/>
  <c r="BI7" i="2"/>
  <c r="BH7" i="2"/>
  <c r="BG7" i="2"/>
  <c r="BF7" i="2"/>
  <c r="BE7" i="2"/>
  <c r="BD7" i="2"/>
  <c r="BC7" i="2"/>
  <c r="BB7" i="2"/>
  <c r="AW7" i="2"/>
  <c r="AU7" i="2"/>
  <c r="AT7" i="2"/>
  <c r="AS7" i="2"/>
  <c r="AR7" i="2"/>
  <c r="AQ7" i="2"/>
  <c r="AK7" i="2"/>
  <c r="AM7" i="2" s="1"/>
  <c r="AJ7" i="2"/>
  <c r="BX6" i="2"/>
  <c r="BV6" i="2"/>
  <c r="BW6" i="2" s="1"/>
  <c r="BU6" i="2"/>
  <c r="BT6" i="2"/>
  <c r="BQ6" i="2"/>
  <c r="BP6" i="2"/>
  <c r="BS6" i="2" s="1"/>
  <c r="BO6" i="2"/>
  <c r="BR6" i="2" s="1"/>
  <c r="BN6" i="2"/>
  <c r="BL6" i="2"/>
  <c r="BK6" i="2"/>
  <c r="BJ6" i="2"/>
  <c r="BM6" i="2" s="1"/>
  <c r="BI6" i="2"/>
  <c r="BH6" i="2"/>
  <c r="BG6" i="2"/>
  <c r="BF6" i="2"/>
  <c r="BE6" i="2"/>
  <c r="BD6" i="2"/>
  <c r="BC6" i="2"/>
  <c r="BB6" i="2"/>
  <c r="AW6" i="2"/>
  <c r="AU6" i="2"/>
  <c r="AV6" i="2" s="1"/>
  <c r="AT6" i="2"/>
  <c r="AS6" i="2"/>
  <c r="AR6" i="2"/>
  <c r="AQ6" i="2"/>
  <c r="AP6" i="2"/>
  <c r="AK6" i="2"/>
  <c r="AL6" i="2" s="1"/>
  <c r="AJ6" i="2"/>
  <c r="BX5" i="2"/>
  <c r="BW5" i="2"/>
  <c r="BV5" i="2"/>
  <c r="AO5" i="2" s="1"/>
  <c r="BU5" i="2"/>
  <c r="BT5" i="2"/>
  <c r="BR5" i="2"/>
  <c r="BP5" i="2"/>
  <c r="BS5" i="2" s="1"/>
  <c r="BO5" i="2"/>
  <c r="BN5" i="2"/>
  <c r="BQ5" i="2" s="1"/>
  <c r="BL5" i="2"/>
  <c r="BK5" i="2"/>
  <c r="BJ5" i="2"/>
  <c r="BM5" i="2" s="1"/>
  <c r="BI5" i="2"/>
  <c r="BH5" i="2"/>
  <c r="BG5" i="2"/>
  <c r="BF5" i="2"/>
  <c r="BE5" i="2"/>
  <c r="BD5" i="2"/>
  <c r="BC5" i="2"/>
  <c r="BB5" i="2"/>
  <c r="AW5" i="2"/>
  <c r="AU5" i="2"/>
  <c r="AT5" i="2"/>
  <c r="AS5" i="2"/>
  <c r="AR5" i="2"/>
  <c r="AQ5" i="2"/>
  <c r="AV5" i="2" s="1"/>
  <c r="AP5" i="2"/>
  <c r="AN5" i="2"/>
  <c r="AL5" i="2"/>
  <c r="AK5" i="2"/>
  <c r="AM5" i="2" s="1"/>
  <c r="AJ5" i="2"/>
  <c r="BX4" i="2"/>
  <c r="BV4" i="2"/>
  <c r="AN4" i="2" s="1"/>
  <c r="BU4" i="2"/>
  <c r="BT4" i="2"/>
  <c r="BS4" i="2"/>
  <c r="BP4" i="2"/>
  <c r="BO4" i="2"/>
  <c r="BR4" i="2" s="1"/>
  <c r="BN4" i="2"/>
  <c r="BQ4" i="2" s="1"/>
  <c r="BL4" i="2"/>
  <c r="BK4" i="2"/>
  <c r="BJ4" i="2"/>
  <c r="BM4" i="2" s="1"/>
  <c r="BI4" i="2"/>
  <c r="BH4" i="2"/>
  <c r="BG4" i="2"/>
  <c r="BF4" i="2"/>
  <c r="BE4" i="2"/>
  <c r="BD4" i="2"/>
  <c r="BC4" i="2"/>
  <c r="BB4" i="2"/>
  <c r="AW4" i="2"/>
  <c r="AU4" i="2"/>
  <c r="AT4" i="2"/>
  <c r="AS4" i="2"/>
  <c r="AR4" i="2"/>
  <c r="AQ4" i="2"/>
  <c r="AV4" i="2" s="1"/>
  <c r="AP4" i="2"/>
  <c r="AO4" i="2"/>
  <c r="AM4" i="2"/>
  <c r="AK4" i="2"/>
  <c r="AL4" i="2" s="1"/>
  <c r="AJ4" i="2"/>
  <c r="BJ22" i="2"/>
  <c r="BJ23" i="2"/>
  <c r="AJ23" i="2"/>
  <c r="V24" i="4"/>
  <c r="BM21" i="1" l="1"/>
  <c r="BI21" i="1"/>
  <c r="BH21" i="1"/>
  <c r="BN21" i="1"/>
  <c r="AR33" i="1"/>
  <c r="U38" i="1"/>
  <c r="U39" i="1" s="1"/>
  <c r="U34" i="1"/>
  <c r="U35" i="1"/>
  <c r="W34" i="1"/>
  <c r="W38" i="1"/>
  <c r="W39" i="1" s="1"/>
  <c r="W35" i="1"/>
  <c r="V34" i="1"/>
  <c r="V35" i="1"/>
  <c r="V38" i="1"/>
  <c r="V39" i="1" s="1"/>
  <c r="BE27" i="1"/>
  <c r="BF27" i="1"/>
  <c r="BG27" i="1"/>
  <c r="AD34" i="1"/>
  <c r="W33" i="7"/>
  <c r="BN27" i="7"/>
  <c r="AY27" i="7"/>
  <c r="AX28" i="7"/>
  <c r="AK32" i="7"/>
  <c r="AZ27" i="7"/>
  <c r="AJ33" i="7"/>
  <c r="BN26" i="7"/>
  <c r="AK27" i="7"/>
  <c r="X33" i="7"/>
  <c r="AK30" i="7"/>
  <c r="AX27" i="7"/>
  <c r="BK33" i="7"/>
  <c r="AK31" i="7"/>
  <c r="AY28" i="7"/>
  <c r="AK26" i="7"/>
  <c r="AZ28" i="7"/>
  <c r="BE29" i="1"/>
  <c r="BF29" i="1"/>
  <c r="BR34" i="1"/>
  <c r="AR31" i="1"/>
  <c r="AR28" i="1"/>
  <c r="AR32" i="1"/>
  <c r="AC34" i="1"/>
  <c r="BG29" i="1"/>
  <c r="AQ34" i="1"/>
  <c r="BG28" i="1"/>
  <c r="BE28" i="1"/>
  <c r="BF28" i="1"/>
  <c r="AR27" i="1"/>
  <c r="BU27" i="1"/>
  <c r="AJ22" i="2"/>
  <c r="AZ6" i="2"/>
  <c r="AV7" i="2"/>
  <c r="BW7" i="2"/>
  <c r="AY11" i="2"/>
  <c r="BA11" i="2" s="1"/>
  <c r="AX12" i="2"/>
  <c r="AZ12" i="2" s="1"/>
  <c r="AL13" i="2"/>
  <c r="BW14" i="2"/>
  <c r="AX6" i="2"/>
  <c r="BW4" i="2"/>
  <c r="AL7" i="2"/>
  <c r="BW8" i="2"/>
  <c r="BA12" i="2"/>
  <c r="AN14" i="2"/>
  <c r="AV15" i="2"/>
  <c r="AX18" i="2"/>
  <c r="AZ18" i="2" s="1"/>
  <c r="AM6" i="2"/>
  <c r="AP14" i="2"/>
  <c r="AZ15" i="2"/>
  <c r="AV16" i="2"/>
  <c r="AY19" i="2"/>
  <c r="AP20" i="2"/>
  <c r="AX20" i="2"/>
  <c r="AZ20" i="2" s="1"/>
  <c r="AX5" i="2"/>
  <c r="AZ5" i="2" s="1"/>
  <c r="AN7" i="2"/>
  <c r="AN8" i="2"/>
  <c r="AX8" i="2"/>
  <c r="AZ8" i="2" s="1"/>
  <c r="AV13" i="2"/>
  <c r="AY14" i="2"/>
  <c r="BA14" i="2" s="1"/>
  <c r="AM15" i="2"/>
  <c r="AX15" i="2"/>
  <c r="AV18" i="2"/>
  <c r="AY20" i="2"/>
  <c r="BA20" i="2" s="1"/>
  <c r="AK22" i="2"/>
  <c r="AY5" i="2"/>
  <c r="BA5" i="2" s="1"/>
  <c r="AO7" i="2"/>
  <c r="AP8" i="2"/>
  <c r="AY8" i="2"/>
  <c r="BA8" i="2" s="1"/>
  <c r="AP15" i="2"/>
  <c r="AV19" i="2"/>
  <c r="AV8" i="2"/>
  <c r="BM22" i="2"/>
  <c r="BM23" i="2"/>
  <c r="AX4" i="2"/>
  <c r="AZ4" i="2" s="1"/>
  <c r="AN6" i="2"/>
  <c r="AL8" i="2"/>
  <c r="AZ11" i="2"/>
  <c r="BW12" i="2"/>
  <c r="AX13" i="2"/>
  <c r="AZ13" i="2" s="1"/>
  <c r="AN15" i="2"/>
  <c r="AL17" i="2"/>
  <c r="BA18" i="2"/>
  <c r="AZ19" i="2"/>
  <c r="BW20" i="2"/>
  <c r="AY4" i="2"/>
  <c r="BA4" i="2" s="1"/>
  <c r="AO6" i="2"/>
  <c r="AY13" i="2"/>
  <c r="BA13" i="2" s="1"/>
  <c r="AO15" i="2"/>
  <c r="BA19" i="2"/>
  <c r="AY6" i="2"/>
  <c r="BA6" i="2" s="1"/>
  <c r="AX7" i="2"/>
  <c r="AZ7" i="2" s="1"/>
  <c r="AN10" i="2"/>
  <c r="AL12" i="2"/>
  <c r="AZ14" i="2"/>
  <c r="AY15" i="2"/>
  <c r="BA15" i="2" s="1"/>
  <c r="AX16" i="2"/>
  <c r="AZ16" i="2" s="1"/>
  <c r="AN18" i="2"/>
  <c r="AL20" i="2"/>
  <c r="AY7" i="2"/>
  <c r="BA7" i="2" s="1"/>
  <c r="AO10" i="2"/>
  <c r="AY16" i="2"/>
  <c r="BA16" i="2" s="1"/>
  <c r="AO18" i="2"/>
  <c r="AN12" i="2"/>
  <c r="AN20" i="2"/>
  <c r="AB26" i="1"/>
  <c r="AK33" i="7" l="1"/>
  <c r="AR34" i="1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BU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<sst xmlns="http://schemas.openxmlformats.org/spreadsheetml/2006/main" count="1060" uniqueCount="272">
  <si>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</si>
  <si>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</si>
  <si>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</si>
  <si>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</si>
  <si>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</si>
  <si>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</si>
  <si>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</si>
  <si>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</si>
  <si>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</si>
  <si>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</si>
  <si>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</si>
  <si>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</si>
  <si>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</si>
  <si>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Simulation %</t>
  </si>
  <si>
    <t>Aerial %</t>
  </si>
  <si>
    <t>Partial %</t>
  </si>
  <si>
    <t>Kairos Barnett</t>
  </si>
  <si>
    <t>N</t>
  </si>
  <si>
    <t>Min detected emission</t>
  </si>
  <si>
    <t>Methane fractional loss simulation</t>
  </si>
  <si>
    <t>Methane fractional loss aerial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</si>
  <si>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</si>
  <si>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</si>
  <si>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</si>
  <si>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</si>
  <si>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</si>
  <si>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</si>
  <si>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</si>
  <si>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</si>
  <si>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</si>
  <si>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</si>
  <si>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</si>
  <si>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</si>
  <si>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</si>
  <si>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</si>
  <si>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</si>
  <si>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</si>
  <si>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</si>
  <si>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</si>
  <si>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</si>
  <si>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</si>
  <si>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</si>
  <si>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</si>
  <si>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</si>
  <si>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</si>
  <si>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</si>
  <si>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High prod</t>
  </si>
  <si>
    <t>Avg visits/well</t>
  </si>
  <si>
    <t>Avg % wells emitting</t>
  </si>
  <si>
    <t>% wells ever emitting</t>
  </si>
  <si>
    <t>Wells per site</t>
  </si>
  <si>
    <t>Sites covered</t>
  </si>
  <si>
    <t>Avg % sites emitting</t>
  </si>
  <si>
    <t>Total emissions (t/h)</t>
  </si>
  <si>
    <t>Total emissions P2.5</t>
  </si>
  <si>
    <t>Total emissions P97.5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</si>
  <si>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</si>
  <si>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</si>
  <si>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</si>
  <si>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</si>
  <si>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</si>
  <si>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</si>
  <si>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</si>
  <si>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</si>
  <si>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</si>
  <si>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</si>
  <si>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</si>
  <si>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</si>
  <si>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</si>
  <si>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</si>
  <si>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</si>
  <si>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</si>
  <si>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</si>
  <si>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</si>
  <si>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</si>
  <si>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</si>
  <si>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</si>
  <si>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</si>
  <si>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</si>
  <si>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</si>
  <si>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</si>
  <si>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</si>
  <si>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</si>
  <si>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</si>
  <si>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</si>
  <si>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</si>
  <si>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Production</t>
  </si>
  <si>
    <t>ProductionP2.5</t>
  </si>
  <si>
    <t>ProductionP97.5</t>
  </si>
  <si>
    <t>Midstream</t>
  </si>
  <si>
    <t>MidstreamP2.5</t>
  </si>
  <si>
    <t>MidstreamP97.5</t>
  </si>
  <si>
    <t>Coal</t>
  </si>
  <si>
    <t>CoalP2.5</t>
  </si>
  <si>
    <t>CoalP97.5</t>
  </si>
  <si>
    <t>Waste</t>
  </si>
  <si>
    <t>WasteP2.5</t>
  </si>
  <si>
    <t>WasteP97.5</t>
  </si>
  <si>
    <t>Agriculture</t>
  </si>
  <si>
    <t>AgricultureP2.5</t>
  </si>
  <si>
    <t>AgricultureP97.5</t>
  </si>
  <si>
    <t>PowerPlant</t>
  </si>
  <si>
    <t>PowerPlantP2.5</t>
  </si>
  <si>
    <t>PowerPlantP97.5</t>
  </si>
  <si>
    <t>Unknown</t>
  </si>
  <si>
    <t>UnknownP2.5</t>
  </si>
  <si>
    <t>UnknownP97.5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</si>
  <si>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</si>
  <si>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</si>
  <si>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</si>
  <si>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</si>
  <si>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</si>
  <si>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</si>
  <si>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</si>
  <si>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</si>
  <si>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</si>
  <si>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</si>
  <si>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</si>
  <si>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</si>
  <si>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</si>
  <si>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</si>
  <si>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</si>
  <si>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</si>
  <si>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</si>
  <si>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</si>
  <si>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</si>
  <si>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</si>
  <si>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Serr of sample mean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</si>
  <si>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</si>
  <si>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</si>
  <si>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</si>
  <si>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</si>
  <si>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</si>
  <si>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</si>
  <si>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</si>
  <si>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</si>
  <si>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</si>
  <si>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</si>
  <si>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</si>
  <si>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</si>
  <si>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</si>
  <si>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</si>
  <si>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</si>
  <si>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</si>
  <si>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</si>
  <si>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</si>
  <si>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</si>
  <si>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</si>
  <si>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</si>
  <si>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</si>
  <si>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</si>
  <si>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</si>
  <si>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</si>
  <si>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</si>
  <si>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</si>
  <si>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</si>
  <si>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</si>
  <si>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</si>
  <si>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20221127b</t>
  </si>
  <si>
    <t>NG methane fraction</t>
  </si>
  <si>
    <t>kgCH4 per mcfNG</t>
  </si>
  <si>
    <t>20221204c</t>
  </si>
  <si>
    <t>20221204e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</si>
  <si>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</si>
  <si>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</si>
  <si>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</si>
  <si>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</si>
  <si>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</si>
  <si>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</si>
  <si>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</si>
  <si>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</si>
  <si>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</si>
  <si>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</si>
  <si>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</si>
  <si>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</si>
  <si>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</si>
  <si>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</si>
  <si>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</si>
  <si>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</si>
  <si>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</si>
  <si>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</si>
  <si>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</si>
  <si>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</si>
  <si>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</si>
  <si>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</si>
  <si>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</si>
  <si>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</si>
  <si>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</si>
  <si>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</si>
  <si>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</si>
  <si>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</si>
  <si>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</si>
  <si>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</si>
  <si>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</si>
  <si>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</si>
  <si>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</si>
  <si>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</si>
  <si>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</si>
  <si>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</si>
  <si>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</si>
  <si>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</si>
  <si>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</si>
  <si>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</si>
  <si>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</si>
  <si>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</si>
  <si>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</si>
  <si>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</si>
  <si>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</si>
  <si>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</si>
  <si>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</si>
  <si>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</si>
  <si>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</si>
  <si>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</si>
  <si>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</si>
  <si>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</si>
  <si>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</si>
  <si>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</si>
  <si>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</si>
  <si>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</si>
  <si>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</si>
  <si>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</si>
  <si>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</si>
  <si>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</si>
  <si>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</si>
  <si>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</si>
  <si>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</si>
  <si>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</si>
  <si>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</si>
  <si>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</si>
  <si>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</si>
  <si>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</si>
  <si>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</si>
  <si>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</si>
  <si>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</si>
  <si>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</si>
  <si>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</si>
  <si>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</si>
  <si>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</si>
  <si>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</si>
  <si>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</si>
  <si>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</si>
  <si>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</si>
  <si>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Table 8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</si>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</sst>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72" formatCode="0.000000"/>
    <numFmt numFmtId="175" formatCode="_(* #,##0.0000_);_(* \(#,##0.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72" fontId="0" fillId="0" borderId="0" xfId="0" applyNumberFormat="1"/>
    <xf numFmtId="175" fontId="0" fillId="0" borderId="0" xfId="2" applyNumberFormat="1" applyFont="1"/>
    <xf numFmtId="0" fontId="3" fillId="0" borderId="0" xfId="0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DZ59"/>
  <sheetViews>
    <sheetView tabSelected="1" workbookViewId="0">
      <pane xSplit="1" ySplit="1" topLeftCell="AU3" activePane="bottomRight" state="frozen"/>
      <selection pane="topRight" activeCell="B1" sqref="B1"/>
      <selection pane="bottomLeft" activeCell="A2" sqref="A2"/>
      <selection pane="bottomRight" activeCell="AX21" sqref="AX21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42" width="11" bestFit="1" customWidth="1"/>
    <col min="43" max="43" width="12.33203125" customWidth="1"/>
    <col min="44" max="45" width="11" bestFit="1" customWidth="1"/>
    <col min="46" max="46" width="20" customWidth="1"/>
    <col min="47" max="47" width="27.1640625" customWidth="1"/>
    <col min="48" max="48" width="16.5" customWidth="1"/>
    <col min="49" max="49" width="17.5" customWidth="1"/>
    <col min="50" max="59" width="11" bestFit="1" customWidth="1"/>
    <col min="60" max="60" width="15.1640625" customWidth="1"/>
    <col min="61" max="69" width="11" bestFit="1" customWidth="1"/>
    <col min="70" max="75" width="14" style="14" customWidth="1"/>
    <col min="76" max="76" width="19.6640625" style="14" customWidth="1"/>
    <col min="77" max="79" width="11" bestFit="1" customWidth="1"/>
    <col min="84" max="84" width="21" bestFit="1" customWidth="1"/>
    <col min="85" max="85" width="20.33203125" bestFit="1" customWidth="1"/>
    <col min="90" max="90" width="23.1640625" bestFit="1" customWidth="1"/>
  </cols>
  <sheetData>
    <row r="1" spans="1:130" x14ac:dyDescent="0.2">
      <c r="A1" t="s">
        <v>145</v>
      </c>
      <c r="B1" t="s">
        <v>23</v>
      </c>
      <c r="C1" t="s">
        <v>183</v>
      </c>
      <c r="D1" t="s">
        <v>184</v>
      </c>
      <c r="E1" t="s">
        <v>24</v>
      </c>
      <c r="F1" t="s">
        <v>185</v>
      </c>
      <c r="G1" t="s">
        <v>186</v>
      </c>
      <c r="H1" t="s">
        <v>25</v>
      </c>
      <c r="I1" t="s">
        <v>239</v>
      </c>
      <c r="J1" t="s">
        <v>240</v>
      </c>
      <c r="K1" t="s">
        <v>187</v>
      </c>
      <c r="L1" t="s">
        <v>188</v>
      </c>
      <c r="M1" t="s">
        <v>189</v>
      </c>
      <c r="N1" t="s">
        <v>67</v>
      </c>
      <c r="O1" t="s">
        <v>68</v>
      </c>
      <c r="P1" t="s">
        <v>107</v>
      </c>
      <c r="Q1" t="s">
        <v>108</v>
      </c>
      <c r="R1" t="s">
        <v>109</v>
      </c>
      <c r="S1" t="s">
        <v>84</v>
      </c>
      <c r="T1" t="s">
        <v>110</v>
      </c>
      <c r="U1" t="s">
        <v>69</v>
      </c>
      <c r="V1" t="s">
        <v>70</v>
      </c>
      <c r="W1" t="s">
        <v>71</v>
      </c>
      <c r="X1" t="s">
        <v>17</v>
      </c>
      <c r="Y1" t="s">
        <v>124</v>
      </c>
      <c r="Z1" t="s">
        <v>18</v>
      </c>
      <c r="AA1" t="s">
        <v>31</v>
      </c>
      <c r="AB1" t="s">
        <v>33</v>
      </c>
      <c r="AC1" t="s">
        <v>40</v>
      </c>
      <c r="AD1" t="s">
        <v>41</v>
      </c>
      <c r="AE1" t="s">
        <v>50</v>
      </c>
      <c r="AF1" t="s">
        <v>77</v>
      </c>
      <c r="AG1" t="s">
        <v>78</v>
      </c>
      <c r="AH1" t="s">
        <v>79</v>
      </c>
      <c r="AI1" t="s">
        <v>80</v>
      </c>
      <c r="AJ1" t="s">
        <v>81</v>
      </c>
      <c r="AK1" t="s">
        <v>82</v>
      </c>
      <c r="AL1" t="s">
        <v>28</v>
      </c>
      <c r="AM1" t="s">
        <v>42</v>
      </c>
      <c r="AN1" t="s">
        <v>45</v>
      </c>
      <c r="AO1" t="s">
        <v>190</v>
      </c>
      <c r="AP1" t="s">
        <v>64</v>
      </c>
      <c r="AQ1" t="s">
        <v>191</v>
      </c>
      <c r="AR1" t="s">
        <v>126</v>
      </c>
      <c r="AS1" t="s">
        <v>125</v>
      </c>
      <c r="AT1" t="s">
        <v>192</v>
      </c>
      <c r="AU1" t="s">
        <v>193</v>
      </c>
      <c r="AV1" t="s">
        <v>194</v>
      </c>
      <c r="AW1" t="s">
        <v>195</v>
      </c>
      <c r="AX1" s="1" t="s">
        <v>196</v>
      </c>
      <c r="AY1" s="1" t="s">
        <v>197</v>
      </c>
      <c r="AZ1" t="s">
        <v>198</v>
      </c>
      <c r="BA1" t="s">
        <v>199</v>
      </c>
      <c r="BB1" t="s">
        <v>72</v>
      </c>
      <c r="BC1" t="s">
        <v>73</v>
      </c>
      <c r="BD1" t="s">
        <v>21</v>
      </c>
      <c r="BE1" t="s">
        <v>200</v>
      </c>
      <c r="BF1" t="s">
        <v>201</v>
      </c>
      <c r="BG1" t="s">
        <v>123</v>
      </c>
      <c r="BH1" t="s">
        <v>202</v>
      </c>
      <c r="BI1" t="s">
        <v>203</v>
      </c>
      <c r="BJ1" t="s">
        <v>22</v>
      </c>
      <c r="BK1" t="s">
        <v>56</v>
      </c>
      <c r="BL1" t="s">
        <v>57</v>
      </c>
      <c r="BM1" t="s">
        <v>58</v>
      </c>
      <c r="BN1" t="s">
        <v>59</v>
      </c>
      <c r="BO1" t="s">
        <v>204</v>
      </c>
      <c r="BP1" t="s">
        <v>205</v>
      </c>
      <c r="BQ1" t="s">
        <v>206</v>
      </c>
      <c r="BR1" t="s">
        <v>85</v>
      </c>
      <c r="BS1" t="s">
        <v>207</v>
      </c>
      <c r="BT1" t="s">
        <v>208</v>
      </c>
      <c r="BU1" t="s">
        <v>111</v>
      </c>
      <c r="BV1" t="s">
        <v>209</v>
      </c>
      <c r="BW1" t="s">
        <v>210</v>
      </c>
      <c r="BX1" t="s">
        <v>211</v>
      </c>
      <c r="BY1" t="s">
        <v>212</v>
      </c>
      <c r="BZ1" t="s">
        <v>213</v>
      </c>
      <c r="CA1" t="s">
        <v>214</v>
      </c>
      <c r="CB1" t="s">
        <v>215</v>
      </c>
      <c r="CC1" t="s">
        <v>29</v>
      </c>
      <c r="CD1" t="s">
        <v>216</v>
      </c>
      <c r="CE1" t="s">
        <v>217</v>
      </c>
      <c r="CF1" t="s">
        <v>48</v>
      </c>
      <c r="CG1" t="s">
        <v>52</v>
      </c>
      <c r="CH1" t="s">
        <v>117</v>
      </c>
      <c r="CI1" t="s">
        <v>218</v>
      </c>
      <c r="CJ1" t="s">
        <v>219</v>
      </c>
      <c r="CK1" t="s">
        <v>114</v>
      </c>
      <c r="CL1" t="s">
        <v>220</v>
      </c>
      <c r="CM1" t="s">
        <v>221</v>
      </c>
      <c r="CN1" t="s">
        <v>28</v>
      </c>
      <c r="CO1" t="s">
        <v>222</v>
      </c>
      <c r="CP1" t="s">
        <v>223</v>
      </c>
      <c r="CQ1" t="s">
        <v>224</v>
      </c>
      <c r="CR1" t="s">
        <v>225</v>
      </c>
      <c r="CS1" t="s">
        <v>226</v>
      </c>
      <c r="CT1" t="s">
        <v>227</v>
      </c>
      <c r="CU1" t="s">
        <v>228</v>
      </c>
      <c r="CV1" t="s">
        <v>229</v>
      </c>
      <c r="CW1" t="s">
        <v>230</v>
      </c>
      <c r="CX1" t="s">
        <v>231</v>
      </c>
      <c r="CY1" t="s">
        <v>232</v>
      </c>
      <c r="CZ1" t="s">
        <v>233</v>
      </c>
      <c r="DA1" t="s">
        <v>234</v>
      </c>
      <c r="DB1" t="s">
        <v>235</v>
      </c>
      <c r="DC1" t="s">
        <v>236</v>
      </c>
      <c r="DD1" t="s">
        <v>237</v>
      </c>
      <c r="DE1" t="s">
        <v>238</v>
      </c>
      <c r="DF1" t="s">
        <v>118</v>
      </c>
      <c r="DG1" t="s">
        <v>115</v>
      </c>
      <c r="DH1" t="s">
        <v>116</v>
      </c>
      <c r="DI1" t="s">
        <v>119</v>
      </c>
      <c r="DJ1" t="s">
        <v>120</v>
      </c>
      <c r="DK1" t="s">
        <v>113</v>
      </c>
      <c r="DL1" t="s">
        <v>30</v>
      </c>
      <c r="DM1" t="s">
        <v>34</v>
      </c>
      <c r="DN1" t="s">
        <v>155</v>
      </c>
      <c r="DO1" t="s">
        <v>159</v>
      </c>
      <c r="DP1" t="s">
        <v>160</v>
      </c>
      <c r="DQ1" t="s">
        <v>177</v>
      </c>
      <c r="DR1" t="s">
        <v>178</v>
      </c>
      <c r="DS1" t="s">
        <v>179</v>
      </c>
      <c r="DT1" t="s">
        <v>180</v>
      </c>
      <c r="DU1" t="s">
        <v>265</v>
      </c>
      <c r="DV1" t="s">
        <v>266</v>
      </c>
      <c r="DW1" t="s">
        <v>267</v>
      </c>
      <c r="DX1" t="s">
        <v>268</v>
      </c>
      <c r="DY1" t="s">
        <v>269</v>
      </c>
      <c r="DZ1" t="s">
        <v>270</v>
      </c>
    </row>
    <row r="2" spans="1:130" x14ac:dyDescent="0.2">
      <c r="A2" t="s">
        <v>146</v>
      </c>
      <c r="B2">
        <v>18.100939120861799</v>
      </c>
      <c r="C2">
        <v>17.689638511797401</v>
      </c>
      <c r="D2">
        <v>18.480780758816099</v>
      </c>
      <c r="E2">
        <v>77.998841174306193</v>
      </c>
      <c r="F2">
        <v>71.256368227942104</v>
      </c>
      <c r="G2">
        <v>86.169374531097205</v>
      </c>
      <c r="H2">
        <v>4.8301886362120996</v>
      </c>
      <c r="I2">
        <v>4.1985295363618196</v>
      </c>
      <c r="J2">
        <v>5.5623194227695496</v>
      </c>
      <c r="K2">
        <v>100.92996893138</v>
      </c>
      <c r="L2">
        <v>94.190504657319707</v>
      </c>
      <c r="M2">
        <v>109.094749817894</v>
      </c>
      <c r="N2">
        <v>71.256368227942104</v>
      </c>
      <c r="O2">
        <v>86.169374531097205</v>
      </c>
      <c r="P2">
        <v>73.649936232991806</v>
      </c>
      <c r="Q2" s="21">
        <v>66.938136534517795</v>
      </c>
      <c r="R2" s="21">
        <v>83.350238687110703</v>
      </c>
      <c r="S2" s="21">
        <v>4.9034948373712401</v>
      </c>
      <c r="T2">
        <v>7.4248657538986702</v>
      </c>
      <c r="U2" s="13">
        <v>186.90826575564199</v>
      </c>
      <c r="V2" s="6">
        <v>175.556197423637</v>
      </c>
      <c r="W2" s="6">
        <v>200.32769922812699</v>
      </c>
      <c r="X2" s="8">
        <v>1000</v>
      </c>
      <c r="Y2" s="22">
        <v>6.2336739186848199E-2</v>
      </c>
      <c r="Z2" s="22">
        <v>7.0962342611128504</v>
      </c>
      <c r="AA2">
        <v>25.364999999999998</v>
      </c>
      <c r="AB2" s="8">
        <v>1952.04513368984</v>
      </c>
      <c r="AC2">
        <v>21637</v>
      </c>
      <c r="AD2">
        <v>81564</v>
      </c>
      <c r="AE2" s="6">
        <v>1.2</v>
      </c>
      <c r="AF2">
        <v>1083</v>
      </c>
      <c r="AG2">
        <v>1081.8779999999999</v>
      </c>
      <c r="AH2">
        <v>537</v>
      </c>
      <c r="AI2">
        <v>258.721</v>
      </c>
      <c r="AJ2">
        <v>902</v>
      </c>
      <c r="AK2" s="12">
        <v>415</v>
      </c>
      <c r="AL2" s="4">
        <v>25.5258048747605</v>
      </c>
      <c r="AM2" s="6" t="s">
        <v>44</v>
      </c>
      <c r="AN2" s="12" t="s">
        <v>43</v>
      </c>
      <c r="AO2" s="13">
        <v>20230328</v>
      </c>
      <c r="AP2" s="13">
        <v>67970</v>
      </c>
      <c r="AQ2">
        <v>3.76982806433722</v>
      </c>
      <c r="AR2">
        <v>0.51503794724005403</v>
      </c>
      <c r="AS2">
        <v>3.2105786188433003E-2</v>
      </c>
      <c r="AT2" s="13">
        <v>1.9712607773831299E-3</v>
      </c>
      <c r="AU2" s="2">
        <v>0.15365656125016999</v>
      </c>
      <c r="AV2" s="2">
        <v>0.837023456275789</v>
      </c>
      <c r="AW2" s="2">
        <v>9.31998247404189E-3</v>
      </c>
      <c r="AX2" s="3">
        <v>9.2728076869035593E-3</v>
      </c>
      <c r="AY2" s="3">
        <v>8.8637069428693094E-3</v>
      </c>
      <c r="AZ2" s="3">
        <v>9.6506177199490797E-3</v>
      </c>
      <c r="BA2" s="3">
        <v>3.9957498844747197E-2</v>
      </c>
      <c r="BB2" s="3">
        <v>3.3251088403822397E-2</v>
      </c>
      <c r="BC2" s="3">
        <v>4.80843316326275E-2</v>
      </c>
      <c r="BD2" s="3">
        <v>2.4744246702338699E-3</v>
      </c>
      <c r="BE2" s="3">
        <v>1.8461440355113301E-3</v>
      </c>
      <c r="BF2" s="3">
        <v>3.2026396130523001E-3</v>
      </c>
      <c r="BG2" s="3">
        <v>5.1704731201884603E-2</v>
      </c>
      <c r="BH2" s="3">
        <v>4.8252216627428499E-2</v>
      </c>
      <c r="BI2" s="3">
        <v>5.5887411584422703E-2</v>
      </c>
      <c r="BJ2" s="3">
        <v>9.5749971417074697E-2</v>
      </c>
      <c r="BK2" s="3">
        <v>-5.8154743125978696E-3</v>
      </c>
      <c r="BL2" s="3">
        <v>6.8745508189755897E-3</v>
      </c>
      <c r="BM2" s="3">
        <v>8.9934497104476804E-2</v>
      </c>
      <c r="BN2" s="3">
        <v>0.10262452223604999</v>
      </c>
      <c r="BO2" s="3">
        <v>3.7729627743686198E-2</v>
      </c>
      <c r="BP2" s="3">
        <v>3.4291285267563698E-2</v>
      </c>
      <c r="BQ2" s="3">
        <v>4.2698930085473201E-2</v>
      </c>
      <c r="BR2" s="3">
        <v>2.5119782082612201E-3</v>
      </c>
      <c r="BS2" s="3">
        <v>2.1185292800802902E-3</v>
      </c>
      <c r="BT2" s="3">
        <v>2.93347250618758E-3</v>
      </c>
      <c r="BU2" s="3">
        <v>3.8036342632426102E-3</v>
      </c>
      <c r="BV2" s="3">
        <v>3.1189800958589401E-3</v>
      </c>
      <c r="BW2" s="3">
        <v>4.4882884306262699E-3</v>
      </c>
      <c r="BX2" s="3">
        <v>4.4045240215189997E-2</v>
      </c>
      <c r="BY2" s="3">
        <v>3.9867374641978898E-2</v>
      </c>
      <c r="BZ2" s="3">
        <v>4.9745139391064501E-2</v>
      </c>
      <c r="CA2">
        <v>1.5933500073561899E-2</v>
      </c>
      <c r="CB2" s="3">
        <v>1.5916992790937199E-2</v>
      </c>
      <c r="CC2">
        <v>0.77126583701823004</v>
      </c>
      <c r="CD2">
        <v>18030</v>
      </c>
      <c r="CE2">
        <v>2.9783693843594E-2</v>
      </c>
      <c r="CF2" s="19">
        <v>1.1957341590793501E-2</v>
      </c>
      <c r="CG2" s="19">
        <v>1.4349473100388199E-2</v>
      </c>
      <c r="CH2" s="14">
        <v>151.64877740729801</v>
      </c>
      <c r="CI2" s="14">
        <v>144.936977708824</v>
      </c>
      <c r="CJ2" s="13">
        <v>161.34907986141701</v>
      </c>
      <c r="CK2" s="14">
        <v>156.55227224466901</v>
      </c>
      <c r="CL2" s="14">
        <v>149.07244248058399</v>
      </c>
      <c r="CM2">
        <v>167.07535059193299</v>
      </c>
      <c r="CN2">
        <v>25.5258048747605</v>
      </c>
      <c r="CO2">
        <v>23.778028429994301</v>
      </c>
      <c r="CP2">
        <v>27.242122348416501</v>
      </c>
      <c r="CQ2">
        <v>151.722073331818</v>
      </c>
      <c r="CR2">
        <v>138.64270302766499</v>
      </c>
      <c r="CS2">
        <v>167.57349353845001</v>
      </c>
      <c r="CT2">
        <v>18.5028323544391</v>
      </c>
      <c r="CU2">
        <v>15.0916654480944</v>
      </c>
      <c r="CV2">
        <v>27.565307116427899</v>
      </c>
      <c r="CW2">
        <v>6.9547925270661297</v>
      </c>
      <c r="CX2">
        <v>5.7364257794959004</v>
      </c>
      <c r="CY2">
        <v>8.3062942223121006</v>
      </c>
      <c r="CZ2">
        <v>3.80156864459794</v>
      </c>
      <c r="DA2">
        <v>2.9803303093770999</v>
      </c>
      <c r="DB2">
        <v>5.1433204022238499</v>
      </c>
      <c r="DC2">
        <v>25.732057114739199</v>
      </c>
      <c r="DD2">
        <v>22.2600382362006</v>
      </c>
      <c r="DE2">
        <v>29.940207584789398</v>
      </c>
      <c r="DF2">
        <v>0.81135365973023399</v>
      </c>
      <c r="DG2">
        <v>0.83758853436545999</v>
      </c>
      <c r="DH2">
        <v>0.13656897032763801</v>
      </c>
      <c r="DI2">
        <v>0.46000283869056202</v>
      </c>
      <c r="DJ2">
        <v>0.39404320262383602</v>
      </c>
      <c r="DK2">
        <v>100.92996893138</v>
      </c>
      <c r="DL2">
        <v>4.3005263015548101</v>
      </c>
      <c r="DM2">
        <v>0.108266507692171</v>
      </c>
      <c r="DN2">
        <v>1.24781772796976E-2</v>
      </c>
      <c r="DO2">
        <v>0.9</v>
      </c>
      <c r="DP2">
        <v>17.326203208556102</v>
      </c>
      <c r="DQ2">
        <v>7.1800020561601202E-2</v>
      </c>
      <c r="DR2">
        <v>-6.0737349449607E-2</v>
      </c>
      <c r="DS2">
        <v>2.5842495306902E-2</v>
      </c>
      <c r="DT2">
        <v>2.05654133666269E-2</v>
      </c>
      <c r="DX2" s="5">
        <v>7.3000000000000001E-3</v>
      </c>
      <c r="DY2" s="5">
        <v>8.2000000000000007E-3</v>
      </c>
      <c r="DZ2" s="5">
        <v>6.3E-3</v>
      </c>
    </row>
    <row r="3" spans="1:130" x14ac:dyDescent="0.2">
      <c r="A3" t="s">
        <v>129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1">
        <v>199.64633283371501</v>
      </c>
      <c r="R3" s="21">
        <v>226.59877749372001</v>
      </c>
      <c r="S3" s="21">
        <v>0</v>
      </c>
      <c r="T3">
        <v>38.281726508560197</v>
      </c>
      <c r="U3" s="13">
        <v>556.46458646583903</v>
      </c>
      <c r="V3" s="6">
        <v>532.92555520118594</v>
      </c>
      <c r="W3" s="6">
        <v>580.167781830992</v>
      </c>
      <c r="X3" s="8">
        <v>1000</v>
      </c>
      <c r="Y3" s="22">
        <v>3.26624826500772E-2</v>
      </c>
      <c r="Z3" s="22">
        <v>15.0295249</v>
      </c>
      <c r="AA3" s="9">
        <v>59.283000000000001</v>
      </c>
      <c r="AB3" s="8">
        <v>10526.8147291444</v>
      </c>
      <c r="AC3" s="8">
        <v>84570</v>
      </c>
      <c r="AD3" s="8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0</v>
      </c>
      <c r="AK3" s="12">
        <v>0</v>
      </c>
      <c r="AL3" s="4">
        <v>107.699225905045</v>
      </c>
      <c r="AM3" s="6" t="s">
        <v>44</v>
      </c>
      <c r="AN3" s="12" t="s">
        <v>43</v>
      </c>
      <c r="AO3" s="13">
        <v>20230328</v>
      </c>
      <c r="AP3" s="13">
        <v>179120</v>
      </c>
      <c r="AQ3">
        <v>3.8655933703088201</v>
      </c>
      <c r="AR3">
        <v>0.50861822288460201</v>
      </c>
      <c r="AS3">
        <v>1.6612733880481401E-2</v>
      </c>
      <c r="AT3" s="13">
        <v>1.0328783920997601E-3</v>
      </c>
      <c r="AU3" s="2">
        <v>0.35168169133559601</v>
      </c>
      <c r="AV3" s="2">
        <v>0.64831830866440399</v>
      </c>
      <c r="AW3" s="2">
        <v>0</v>
      </c>
      <c r="AX3" s="3">
        <v>6.5943498753042598E-3</v>
      </c>
      <c r="AY3" s="3">
        <v>6.4124640633987399E-3</v>
      </c>
      <c r="AZ3" s="3">
        <v>6.8218512006283901E-3</v>
      </c>
      <c r="BA3" s="3">
        <v>2.2436657256793498E-2</v>
      </c>
      <c r="BB3" s="3">
        <v>2.05762748459003E-2</v>
      </c>
      <c r="BC3" s="3">
        <v>2.4330355334057599E-2</v>
      </c>
      <c r="BD3" s="3">
        <v>0</v>
      </c>
      <c r="BE3" s="3">
        <v>0</v>
      </c>
      <c r="BF3" s="3">
        <v>0</v>
      </c>
      <c r="BG3" s="3">
        <v>2.9031007132097698E-2</v>
      </c>
      <c r="BH3" s="3">
        <v>2.8073463480066702E-2</v>
      </c>
      <c r="BI3" s="3">
        <v>2.9998652771312698E-2</v>
      </c>
      <c r="BJ3" s="3">
        <v>5.2861630111644201E-2</v>
      </c>
      <c r="BK3" s="3">
        <v>-2.23610198054335E-3</v>
      </c>
      <c r="BL3" s="3">
        <v>2.2516968309063698E-3</v>
      </c>
      <c r="BM3" s="3">
        <v>5.0625528131100897E-2</v>
      </c>
      <c r="BN3" s="3">
        <v>5.5113326942550597E-2</v>
      </c>
      <c r="BO3" s="3">
        <v>2.0194031333017899E-2</v>
      </c>
      <c r="BP3" s="3">
        <v>1.89655026682456E-2</v>
      </c>
      <c r="BQ3" s="3">
        <v>2.1525863551712501E-2</v>
      </c>
      <c r="BR3" s="3">
        <v>0</v>
      </c>
      <c r="BS3" s="3">
        <v>0</v>
      </c>
      <c r="BT3" s="3">
        <v>0</v>
      </c>
      <c r="BU3" s="3">
        <v>3.6365916465285501E-3</v>
      </c>
      <c r="BV3" s="3">
        <v>2.9820051501534099E-3</v>
      </c>
      <c r="BW3" s="3">
        <v>4.2911781429036903E-3</v>
      </c>
      <c r="BX3" s="3">
        <v>2.3830622979546499E-2</v>
      </c>
      <c r="BY3" s="3">
        <v>2.1947507818398999E-2</v>
      </c>
      <c r="BZ3" s="3">
        <v>2.58170416946162E-2</v>
      </c>
      <c r="CA3">
        <v>9.7644037516748591E-3</v>
      </c>
      <c r="CB3" s="3">
        <v>9.1879298794104499E-3</v>
      </c>
      <c r="CC3">
        <v>0.829703084537742</v>
      </c>
      <c r="CD3">
        <v>46337</v>
      </c>
      <c r="CE3">
        <v>2.2746401363920799E-2</v>
      </c>
      <c r="CF3" s="19">
        <v>5.7165543336880698E-3</v>
      </c>
      <c r="CG3" s="19">
        <v>1.0433325420290501E-2</v>
      </c>
      <c r="CH3" s="14">
        <v>448.76536056079402</v>
      </c>
      <c r="CI3" s="14">
        <v>435.83286691729302</v>
      </c>
      <c r="CJ3" s="13">
        <v>462.78531157729799</v>
      </c>
      <c r="CK3" s="14">
        <v>448.76536056079402</v>
      </c>
      <c r="CL3" s="14">
        <v>435.83286691729302</v>
      </c>
      <c r="CM3">
        <v>462.78531157729799</v>
      </c>
      <c r="CN3">
        <v>107.699225905045</v>
      </c>
      <c r="CO3">
        <v>99.834674887751703</v>
      </c>
      <c r="CP3">
        <v>115.808008302082</v>
      </c>
      <c r="CQ3">
        <v>449.28444394970097</v>
      </c>
      <c r="CR3">
        <v>429.65375419715201</v>
      </c>
      <c r="CS3">
        <v>469.26869969541298</v>
      </c>
      <c r="CT3">
        <v>102.36224792354599</v>
      </c>
      <c r="CU3">
        <v>96.655734964306703</v>
      </c>
      <c r="CV3">
        <v>109.023002390983</v>
      </c>
      <c r="CW3">
        <v>80.647513625937705</v>
      </c>
      <c r="CX3">
        <v>74.031140789436094</v>
      </c>
      <c r="CY3">
        <v>87.886073919089398</v>
      </c>
      <c r="CZ3">
        <v>29.569064927732999</v>
      </c>
      <c r="DA3">
        <v>21.381252635822499</v>
      </c>
      <c r="DB3">
        <v>39.986644902338199</v>
      </c>
      <c r="DC3">
        <v>0</v>
      </c>
      <c r="DD3">
        <v>0</v>
      </c>
      <c r="DE3">
        <v>0</v>
      </c>
      <c r="DF3">
        <v>0.80645777878033398</v>
      </c>
      <c r="DG3">
        <v>0.80645777878033398</v>
      </c>
      <c r="DH3">
        <v>0.19354222121966599</v>
      </c>
      <c r="DI3">
        <v>0.45081090203553997</v>
      </c>
      <c r="DJ3">
        <v>0.382016265819417</v>
      </c>
      <c r="DK3">
        <v>305.60403348006201</v>
      </c>
      <c r="DL3">
        <v>3.6526892266459399</v>
      </c>
      <c r="DM3">
        <v>0.227179461966558</v>
      </c>
      <c r="DN3">
        <v>1.14918517480515E-2</v>
      </c>
      <c r="DO3">
        <v>0.9</v>
      </c>
      <c r="DP3">
        <v>17.326203208556102</v>
      </c>
      <c r="DQ3">
        <v>4.2594731180618003E-2</v>
      </c>
      <c r="DR3">
        <v>-4.2301957547472298E-2</v>
      </c>
      <c r="DS3">
        <v>0</v>
      </c>
      <c r="DT3">
        <v>0</v>
      </c>
      <c r="DX3" s="5">
        <v>6.4999999999999997E-3</v>
      </c>
      <c r="DY3" s="5">
        <v>7.4000000000000003E-3</v>
      </c>
      <c r="DZ3" s="5">
        <v>5.5999999999999999E-3</v>
      </c>
    </row>
    <row r="4" spans="1:130" x14ac:dyDescent="0.2">
      <c r="A4" t="s">
        <v>130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1">
        <v>53.506686784904403</v>
      </c>
      <c r="R4" s="21">
        <v>67.679217394872495</v>
      </c>
      <c r="S4" s="21">
        <v>0</v>
      </c>
      <c r="T4">
        <v>16.3695421682262</v>
      </c>
      <c r="U4" s="13">
        <v>133.964476203761</v>
      </c>
      <c r="V4" s="6">
        <v>123.222174788291</v>
      </c>
      <c r="W4" s="6">
        <v>145.20184977769699</v>
      </c>
      <c r="X4" s="8">
        <v>1000</v>
      </c>
      <c r="Y4" s="22">
        <v>5.2643636152650497E-2</v>
      </c>
      <c r="Z4" s="22">
        <v>8.0919112099999992</v>
      </c>
      <c r="AA4" s="9">
        <v>83.968000000000004</v>
      </c>
      <c r="AB4" s="8">
        <v>4766.5263912834198</v>
      </c>
      <c r="AC4" s="8">
        <v>17120</v>
      </c>
      <c r="AD4" s="8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0</v>
      </c>
      <c r="AK4" s="12">
        <v>0</v>
      </c>
      <c r="AL4" s="4">
        <v>38.855543238502797</v>
      </c>
      <c r="AM4" s="6" t="s">
        <v>44</v>
      </c>
      <c r="AN4" s="12" t="s">
        <v>43</v>
      </c>
      <c r="AO4" s="13">
        <v>20230328</v>
      </c>
      <c r="AP4" s="13">
        <v>26787</v>
      </c>
      <c r="AQ4">
        <v>2.85575692963753</v>
      </c>
      <c r="AR4">
        <v>0.59175151754216704</v>
      </c>
      <c r="AS4">
        <v>3.1151951582268599E-2</v>
      </c>
      <c r="AT4" s="13">
        <v>1.6647379455555901E-3</v>
      </c>
      <c r="AU4" s="2">
        <v>0.53309279898058703</v>
      </c>
      <c r="AV4" s="2">
        <v>0.46690720101941302</v>
      </c>
      <c r="AW4" s="2">
        <v>0</v>
      </c>
      <c r="AX4" s="3">
        <v>4.7174817098247796E-3</v>
      </c>
      <c r="AY4" s="3">
        <v>4.4295977346378796E-3</v>
      </c>
      <c r="AZ4" s="3">
        <v>5.0127183033532897E-3</v>
      </c>
      <c r="BA4" s="3">
        <v>7.3319574677265702E-3</v>
      </c>
      <c r="BB4" s="3">
        <v>6.1732762280551599E-3</v>
      </c>
      <c r="BC4" s="3">
        <v>8.4298997595514107E-3</v>
      </c>
      <c r="BD4" s="3">
        <v>0</v>
      </c>
      <c r="BE4" s="3">
        <v>0</v>
      </c>
      <c r="BF4" s="3">
        <v>0</v>
      </c>
      <c r="BG4" s="3">
        <v>1.20494391775513E-2</v>
      </c>
      <c r="BH4" s="3">
        <v>1.13275852624395E-2</v>
      </c>
      <c r="BI4" s="3">
        <v>1.27130579051232E-2</v>
      </c>
      <c r="BJ4" s="3">
        <v>2.8105262660192799E-2</v>
      </c>
      <c r="BK4" s="3">
        <v>-2.2536959902529599E-3</v>
      </c>
      <c r="BL4" s="3">
        <v>2.3575603388005699E-3</v>
      </c>
      <c r="BM4" s="3">
        <v>2.5851566669939801E-2</v>
      </c>
      <c r="BN4" s="3">
        <v>3.0462822998993399E-2</v>
      </c>
      <c r="BO4" s="3">
        <v>1.26215527318991E-2</v>
      </c>
      <c r="BP4" s="3">
        <v>1.12255093945881E-2</v>
      </c>
      <c r="BQ4" s="3">
        <v>1.41988550653235E-2</v>
      </c>
      <c r="BR4" s="3">
        <v>0</v>
      </c>
      <c r="BS4" s="3">
        <v>0</v>
      </c>
      <c r="BT4" s="3">
        <v>0</v>
      </c>
      <c r="BU4" s="3">
        <v>3.4342707507423499E-3</v>
      </c>
      <c r="BV4" s="3">
        <v>2.81610201560873E-3</v>
      </c>
      <c r="BW4" s="3">
        <v>4.0524394858759798E-3</v>
      </c>
      <c r="BX4" s="3">
        <v>1.6055823482641399E-2</v>
      </c>
      <c r="BY4" s="3">
        <v>1.40416114101969E-2</v>
      </c>
      <c r="BZ4" s="3">
        <v>1.82512945511994E-2</v>
      </c>
      <c r="CA4">
        <v>1.0602157763094E-2</v>
      </c>
      <c r="CB4" s="3">
        <v>9.1950946354575E-3</v>
      </c>
      <c r="CC4">
        <v>0.83174075729947905</v>
      </c>
      <c r="CD4">
        <v>9380</v>
      </c>
      <c r="CE4">
        <v>2.5479744136460598E-2</v>
      </c>
      <c r="CF4" s="19">
        <v>5.9135514018691599E-3</v>
      </c>
      <c r="CG4" s="19">
        <v>1.07931769722815E-2</v>
      </c>
      <c r="CH4" s="14">
        <v>95.108932965258603</v>
      </c>
      <c r="CI4" s="14">
        <v>88.454655554590701</v>
      </c>
      <c r="CJ4" s="13">
        <v>102.62718616455901</v>
      </c>
      <c r="CK4" s="14">
        <v>95.108932965258603</v>
      </c>
      <c r="CL4" s="14">
        <v>88.454655554590701</v>
      </c>
      <c r="CM4">
        <v>102.62718616455901</v>
      </c>
      <c r="CN4">
        <v>38.855543238502797</v>
      </c>
      <c r="CO4">
        <v>35.097020330791402</v>
      </c>
      <c r="CP4">
        <v>42.634804935813598</v>
      </c>
      <c r="CQ4">
        <v>95.645590270305902</v>
      </c>
      <c r="CR4">
        <v>90.148801528004597</v>
      </c>
      <c r="CS4">
        <v>100.85392519221401</v>
      </c>
      <c r="CT4">
        <v>17.6729087826577</v>
      </c>
      <c r="CU4">
        <v>13.507861123096101</v>
      </c>
      <c r="CV4">
        <v>23.020383770234801</v>
      </c>
      <c r="CW4">
        <v>33.372114936345703</v>
      </c>
      <c r="CX4">
        <v>29.311477362649001</v>
      </c>
      <c r="CY4">
        <v>37.495659264785601</v>
      </c>
      <c r="CZ4">
        <v>9.0276572659873509</v>
      </c>
      <c r="DA4">
        <v>6.4483393598766403</v>
      </c>
      <c r="DB4">
        <v>11.889320511815701</v>
      </c>
      <c r="DC4">
        <v>8.8283210581650701E-2</v>
      </c>
      <c r="DD4">
        <v>3.6041486746464201E-2</v>
      </c>
      <c r="DE4">
        <v>0.30953670317783</v>
      </c>
      <c r="DF4">
        <v>0.70995479244509796</v>
      </c>
      <c r="DG4">
        <v>0.70995479244509796</v>
      </c>
      <c r="DH4">
        <v>0.29004520755490198</v>
      </c>
      <c r="DI4">
        <v>0.57127414020481504</v>
      </c>
      <c r="DJ4">
        <v>0.44908038500790598</v>
      </c>
      <c r="DK4">
        <v>57.433969839962899</v>
      </c>
      <c r="DL4">
        <v>2.1244740856250099</v>
      </c>
      <c r="DM4">
        <v>0.50815846388949104</v>
      </c>
      <c r="DN4">
        <v>1.06611193281389E-2</v>
      </c>
      <c r="DO4">
        <v>0.9</v>
      </c>
      <c r="DP4">
        <v>17.326203208556102</v>
      </c>
      <c r="DQ4">
        <v>8.3879361844294203E-2</v>
      </c>
      <c r="DR4">
        <v>-8.0194747035233105E-2</v>
      </c>
      <c r="DS4">
        <v>0</v>
      </c>
      <c r="DT4">
        <v>0</v>
      </c>
      <c r="DX4" s="5">
        <v>6.0000000000000001E-3</v>
      </c>
      <c r="DY4" s="5">
        <v>6.7999999999999996E-3</v>
      </c>
      <c r="DZ4" s="5">
        <v>5.1000000000000004E-3</v>
      </c>
    </row>
    <row r="5" spans="1:130" x14ac:dyDescent="0.2">
      <c r="A5" t="s">
        <v>132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1">
        <v>41.453676426751798</v>
      </c>
      <c r="R5" s="21">
        <v>49.191028807252103</v>
      </c>
      <c r="S5" s="21">
        <v>0</v>
      </c>
      <c r="T5">
        <v>20.4353866558872</v>
      </c>
      <c r="U5" s="13">
        <v>130.59393454159101</v>
      </c>
      <c r="V5" s="6">
        <v>121.728036561172</v>
      </c>
      <c r="W5" s="6">
        <v>139.72156058501201</v>
      </c>
      <c r="X5" s="8">
        <v>1000</v>
      </c>
      <c r="Y5" s="22">
        <v>4.6598348594653498E-2</v>
      </c>
      <c r="Z5" s="22">
        <v>11.8134085</v>
      </c>
      <c r="AA5" s="9">
        <v>68.186999999999998</v>
      </c>
      <c r="AB5" s="8">
        <v>5950.4296949999998</v>
      </c>
      <c r="AC5" s="8">
        <v>19040</v>
      </c>
      <c r="AD5" s="8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0</v>
      </c>
      <c r="AK5" s="12">
        <v>0</v>
      </c>
      <c r="AL5" s="4">
        <v>48.406044334078203</v>
      </c>
      <c r="AM5" s="6" t="s">
        <v>44</v>
      </c>
      <c r="AN5" s="12" t="s">
        <v>43</v>
      </c>
      <c r="AO5" s="13">
        <v>20230328</v>
      </c>
      <c r="AP5" s="13">
        <v>50357</v>
      </c>
      <c r="AQ5">
        <v>4.82716641104295</v>
      </c>
      <c r="AR5">
        <v>0.45514928471695798</v>
      </c>
      <c r="AS5">
        <v>2.1209205031847998E-2</v>
      </c>
      <c r="AT5" s="13">
        <v>1.4735691676161201E-3</v>
      </c>
      <c r="AU5" s="2">
        <v>0.70526178368123005</v>
      </c>
      <c r="AV5" s="2">
        <v>0.29473821631877001</v>
      </c>
      <c r="AW5" s="2">
        <v>0</v>
      </c>
      <c r="AX5" s="3">
        <v>4.7006114031889097E-3</v>
      </c>
      <c r="AY5" s="3">
        <v>4.4292643081822198E-3</v>
      </c>
      <c r="AZ5" s="3">
        <v>4.9923880909619502E-3</v>
      </c>
      <c r="BA5" s="3">
        <v>6.2359035859835101E-3</v>
      </c>
      <c r="BB5" s="3">
        <v>5.0440542865336797E-3</v>
      </c>
      <c r="BC5" s="3">
        <v>7.4854689344631704E-3</v>
      </c>
      <c r="BD5" s="3">
        <v>0</v>
      </c>
      <c r="BE5" s="3">
        <v>0</v>
      </c>
      <c r="BF5" s="3">
        <v>0</v>
      </c>
      <c r="BG5" s="3">
        <v>1.09365149891724E-2</v>
      </c>
      <c r="BH5" s="3">
        <v>1.03901656698661E-2</v>
      </c>
      <c r="BI5" s="3">
        <v>1.1529320167110699E-2</v>
      </c>
      <c r="BJ5" s="3">
        <v>2.1946975468229699E-2</v>
      </c>
      <c r="BK5" s="3">
        <v>-1.48995928611145E-3</v>
      </c>
      <c r="BL5" s="3">
        <v>1.53394401938596E-3</v>
      </c>
      <c r="BM5" s="3">
        <v>2.0457016182118301E-2</v>
      </c>
      <c r="BN5" s="3">
        <v>2.3480919487615701E-2</v>
      </c>
      <c r="BO5" s="3">
        <v>7.5761897283149297E-3</v>
      </c>
      <c r="BP5" s="3">
        <v>6.9665013371360803E-3</v>
      </c>
      <c r="BQ5" s="3">
        <v>8.2668027904919394E-3</v>
      </c>
      <c r="BR5" s="3">
        <v>0</v>
      </c>
      <c r="BS5" s="3">
        <v>0</v>
      </c>
      <c r="BT5" s="3">
        <v>0</v>
      </c>
      <c r="BU5" s="3">
        <v>3.4342707507423499E-3</v>
      </c>
      <c r="BV5" s="3">
        <v>2.81610201560873E-3</v>
      </c>
      <c r="BW5" s="3">
        <v>4.0524394858759798E-3</v>
      </c>
      <c r="BX5" s="3">
        <v>1.10104604790573E-2</v>
      </c>
      <c r="BY5" s="3">
        <v>9.7826033527448099E-3</v>
      </c>
      <c r="BZ5" s="3">
        <v>1.23192422763679E-2</v>
      </c>
      <c r="CA5">
        <v>8.2610163433087802E-3</v>
      </c>
      <c r="CB5" s="3">
        <v>7.1605735051730596E-3</v>
      </c>
      <c r="CC5">
        <v>0.804176927885354</v>
      </c>
      <c r="CD5">
        <v>10432</v>
      </c>
      <c r="CE5">
        <v>2.83742331288344E-2</v>
      </c>
      <c r="CF5" s="19">
        <v>6.5498949579831899E-3</v>
      </c>
      <c r="CG5" s="19">
        <v>1.1954562883435599E-2</v>
      </c>
      <c r="CH5" s="14">
        <v>82.187890207512396</v>
      </c>
      <c r="CI5" s="14">
        <v>78.559982299945005</v>
      </c>
      <c r="CJ5" s="13">
        <v>86.297334680445303</v>
      </c>
      <c r="CK5" s="14">
        <v>82.187890207512396</v>
      </c>
      <c r="CL5" s="14">
        <v>78.559982299945005</v>
      </c>
      <c r="CM5">
        <v>86.297334680445303</v>
      </c>
      <c r="CN5">
        <v>48.406044334078203</v>
      </c>
      <c r="CO5">
        <v>43.992776221805599</v>
      </c>
      <c r="CP5">
        <v>52.874642603357103</v>
      </c>
      <c r="CQ5">
        <v>82.806661072048698</v>
      </c>
      <c r="CR5">
        <v>75.697857549517707</v>
      </c>
      <c r="CS5">
        <v>90.314382527307401</v>
      </c>
      <c r="CT5">
        <v>12.903725462409099</v>
      </c>
      <c r="CU5">
        <v>11.5096954655174</v>
      </c>
      <c r="CV5">
        <v>14.693034820873899</v>
      </c>
      <c r="CW5">
        <v>25.1574512861289</v>
      </c>
      <c r="CX5">
        <v>22.226279612928899</v>
      </c>
      <c r="CY5">
        <v>28.530746777057001</v>
      </c>
      <c r="CZ5">
        <v>7.0204075857812001</v>
      </c>
      <c r="DA5">
        <v>5.5240476902132603</v>
      </c>
      <c r="DB5">
        <v>8.7435956277561804</v>
      </c>
      <c r="DC5">
        <v>0</v>
      </c>
      <c r="DD5">
        <v>0</v>
      </c>
      <c r="DE5">
        <v>0</v>
      </c>
      <c r="DF5">
        <v>0.62933818806559805</v>
      </c>
      <c r="DG5">
        <v>0.62933818806559805</v>
      </c>
      <c r="DH5">
        <v>0.37066181193440201</v>
      </c>
      <c r="DI5">
        <v>0.50168380621361497</v>
      </c>
      <c r="DJ5">
        <v>0.34520245964498097</v>
      </c>
      <c r="DK5">
        <v>65.076963551384196</v>
      </c>
      <c r="DL5">
        <v>1.87101643732723</v>
      </c>
      <c r="DM5">
        <v>0.57040161953604296</v>
      </c>
      <c r="DN5">
        <v>1.06611193281389E-2</v>
      </c>
      <c r="DO5">
        <v>0.9</v>
      </c>
      <c r="DP5">
        <v>17.326203208556102</v>
      </c>
      <c r="DQ5">
        <v>6.9895233146168703E-2</v>
      </c>
      <c r="DR5">
        <v>-6.7885611499149304E-2</v>
      </c>
      <c r="DS5">
        <v>0</v>
      </c>
      <c r="DT5">
        <v>0</v>
      </c>
      <c r="DX5" s="5">
        <v>6.0000000000000001E-3</v>
      </c>
      <c r="DY5" s="5">
        <v>6.7999999999999996E-3</v>
      </c>
      <c r="DZ5" s="5">
        <v>5.1000000000000004E-3</v>
      </c>
    </row>
    <row r="6" spans="1:130" x14ac:dyDescent="0.2">
      <c r="A6" t="s">
        <v>131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1">
        <v>39.066203291422397</v>
      </c>
      <c r="R6" s="21">
        <v>49.177450416585899</v>
      </c>
      <c r="S6" s="21">
        <v>0</v>
      </c>
      <c r="T6">
        <v>21.388091567027899</v>
      </c>
      <c r="U6" s="13">
        <v>130.97772961777801</v>
      </c>
      <c r="V6" s="6">
        <v>121.079669568838</v>
      </c>
      <c r="W6" s="6">
        <v>141.31724366735901</v>
      </c>
      <c r="X6" s="8">
        <v>1000</v>
      </c>
      <c r="Y6" s="22">
        <v>5.6701480279396699E-2</v>
      </c>
      <c r="Z6" s="22">
        <v>23.348039</v>
      </c>
      <c r="AA6" s="9">
        <v>77.864999999999995</v>
      </c>
      <c r="AB6" s="8">
        <v>6227.8408195989296</v>
      </c>
      <c r="AC6" s="8">
        <v>19670</v>
      </c>
      <c r="AD6" s="8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0</v>
      </c>
      <c r="AK6" s="12">
        <v>0</v>
      </c>
      <c r="AL6" s="4">
        <v>51.699972919478903</v>
      </c>
      <c r="AM6" s="6" t="s">
        <v>44</v>
      </c>
      <c r="AN6" s="12" t="s">
        <v>43</v>
      </c>
      <c r="AO6" s="13">
        <v>20230328</v>
      </c>
      <c r="AP6" s="13">
        <v>51672</v>
      </c>
      <c r="AQ6">
        <v>4.7946552844019701</v>
      </c>
      <c r="AR6">
        <v>0.45668979343236699</v>
      </c>
      <c r="AS6">
        <v>2.58949873161071E-2</v>
      </c>
      <c r="AT6" s="13">
        <v>1.7930582438601399E-3</v>
      </c>
      <c r="AU6" s="2">
        <v>0.70390981137790598</v>
      </c>
      <c r="AV6" s="2">
        <v>0.29609018862209502</v>
      </c>
      <c r="AW6" s="2">
        <v>0</v>
      </c>
      <c r="AX6" s="3">
        <v>4.8671573713091601E-3</v>
      </c>
      <c r="AY6" s="3">
        <v>4.58972923543446E-3</v>
      </c>
      <c r="AZ6" s="3">
        <v>5.1163595079600404E-3</v>
      </c>
      <c r="BA6" s="3">
        <v>5.66952070861927E-3</v>
      </c>
      <c r="BB6" s="3">
        <v>4.3761572692099697E-3</v>
      </c>
      <c r="BC6" s="3">
        <v>6.9583976133243304E-3</v>
      </c>
      <c r="BD6" s="3">
        <v>0</v>
      </c>
      <c r="BE6" s="3">
        <v>0</v>
      </c>
      <c r="BF6" s="3">
        <v>0</v>
      </c>
      <c r="BG6" s="3">
        <v>1.05366780799284E-2</v>
      </c>
      <c r="BH6" s="3">
        <v>9.9396311113454493E-3</v>
      </c>
      <c r="BI6" s="3">
        <v>1.1134470121366201E-2</v>
      </c>
      <c r="BJ6" s="3">
        <v>2.10310014998446E-2</v>
      </c>
      <c r="BK6" s="3">
        <v>-1.5893245083899699E-3</v>
      </c>
      <c r="BL6" s="3">
        <v>1.66020846535493E-3</v>
      </c>
      <c r="BM6" s="3">
        <v>1.94416769914546E-2</v>
      </c>
      <c r="BN6" s="3">
        <v>2.2691209965199501E-2</v>
      </c>
      <c r="BO6" s="3">
        <v>7.0600526691737796E-3</v>
      </c>
      <c r="BP6" s="3">
        <v>6.2728326595120404E-3</v>
      </c>
      <c r="BQ6" s="3">
        <v>7.8963884660996908E-3</v>
      </c>
      <c r="BR6" s="3">
        <v>0</v>
      </c>
      <c r="BS6" s="3">
        <v>0</v>
      </c>
      <c r="BT6" s="3">
        <v>0</v>
      </c>
      <c r="BU6" s="3">
        <v>3.4342707507423499E-3</v>
      </c>
      <c r="BV6" s="3">
        <v>2.81610201560873E-3</v>
      </c>
      <c r="BW6" s="3">
        <v>4.0524394858759798E-3</v>
      </c>
      <c r="BX6" s="3">
        <v>1.04943234199161E-2</v>
      </c>
      <c r="BY6" s="3">
        <v>9.0889346751207804E-3</v>
      </c>
      <c r="BZ6" s="3">
        <v>1.19488279519757E-2</v>
      </c>
      <c r="CA6">
        <v>6.4638488930174997E-3</v>
      </c>
      <c r="CB6" s="3">
        <v>5.3249342003406103E-3</v>
      </c>
      <c r="CC6">
        <v>0.82560542688622596</v>
      </c>
      <c r="CD6">
        <v>10777</v>
      </c>
      <c r="CE6">
        <v>2.1527326714299001E-2</v>
      </c>
      <c r="CF6" s="19">
        <v>4.7170818505338098E-3</v>
      </c>
      <c r="CG6" s="19">
        <v>8.6095388326992706E-3</v>
      </c>
      <c r="CH6" s="14">
        <v>79.277756698299299</v>
      </c>
      <c r="CI6" s="14">
        <v>74.375075788122899</v>
      </c>
      <c r="CJ6" s="13">
        <v>84.486322913286401</v>
      </c>
      <c r="CK6" s="14">
        <v>79.277756698299299</v>
      </c>
      <c r="CL6" s="14">
        <v>74.375075788122899</v>
      </c>
      <c r="CM6">
        <v>84.486322913286401</v>
      </c>
      <c r="CN6">
        <v>51.699972919478903</v>
      </c>
      <c r="CO6">
        <v>47.061057736599103</v>
      </c>
      <c r="CP6">
        <v>56.258607959876002</v>
      </c>
      <c r="CQ6">
        <v>79.887013723005197</v>
      </c>
      <c r="CR6">
        <v>71.821563029673399</v>
      </c>
      <c r="CS6">
        <v>87.991378909638001</v>
      </c>
      <c r="CT6">
        <v>6.8527874206914898</v>
      </c>
      <c r="CU6">
        <v>6.03779725388502</v>
      </c>
      <c r="CV6">
        <v>7.6694456389691403</v>
      </c>
      <c r="CW6">
        <v>27.253138020562499</v>
      </c>
      <c r="CX6">
        <v>23.3859492974387</v>
      </c>
      <c r="CY6">
        <v>31.5380871880344</v>
      </c>
      <c r="CZ6">
        <v>9.8629587603447995</v>
      </c>
      <c r="DA6">
        <v>7.3800636522848597</v>
      </c>
      <c r="DB6">
        <v>12.8068624744694</v>
      </c>
      <c r="DC6">
        <v>0</v>
      </c>
      <c r="DD6">
        <v>0</v>
      </c>
      <c r="DE6">
        <v>0</v>
      </c>
      <c r="DF6">
        <v>0.60527477297821697</v>
      </c>
      <c r="DG6">
        <v>0.60527477297821697</v>
      </c>
      <c r="DH6">
        <v>0.39472522702178398</v>
      </c>
      <c r="DI6">
        <v>0.49899150289261102</v>
      </c>
      <c r="DJ6">
        <v>0.335694763620835</v>
      </c>
      <c r="DK6">
        <v>65.620753849151498</v>
      </c>
      <c r="DL6">
        <v>1.7873164626015901</v>
      </c>
      <c r="DM6">
        <v>0.57788260365583499</v>
      </c>
      <c r="DN6">
        <v>1.06611193281389E-2</v>
      </c>
      <c r="DO6">
        <v>0.9</v>
      </c>
      <c r="DP6">
        <v>17.326203208556102</v>
      </c>
      <c r="DQ6">
        <v>7.8945315783161302E-2</v>
      </c>
      <c r="DR6">
        <v>-7.5576803103084594E-2</v>
      </c>
      <c r="DS6">
        <v>0</v>
      </c>
      <c r="DT6">
        <v>0</v>
      </c>
      <c r="DX6" s="5">
        <v>6.0000000000000001E-3</v>
      </c>
      <c r="DY6" s="5">
        <v>6.7999999999999996E-3</v>
      </c>
      <c r="DZ6" s="5">
        <v>5.1000000000000004E-3</v>
      </c>
    </row>
    <row r="7" spans="1:130" x14ac:dyDescent="0.2">
      <c r="A7" t="s">
        <v>133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1">
        <v>3.7142929113647298</v>
      </c>
      <c r="R7" s="21">
        <v>6.1650359327231001</v>
      </c>
      <c r="S7" s="21">
        <v>0</v>
      </c>
      <c r="T7">
        <v>1.1897865990230101</v>
      </c>
      <c r="U7" s="13">
        <v>10.912344669993599</v>
      </c>
      <c r="V7" s="6">
        <v>9.3412725063810491</v>
      </c>
      <c r="W7" s="6">
        <v>12.7098854515796</v>
      </c>
      <c r="X7" s="8">
        <v>1000</v>
      </c>
      <c r="Y7" s="22">
        <v>9.8709591306135394E-2</v>
      </c>
      <c r="Z7" s="22">
        <v>9</v>
      </c>
      <c r="AA7" s="9">
        <v>40.414999999999999</v>
      </c>
      <c r="AB7" s="8">
        <v>264.97395591978602</v>
      </c>
      <c r="AC7" s="8">
        <v>41547</v>
      </c>
      <c r="AD7" s="8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12">
        <v>36</v>
      </c>
      <c r="AL7" s="4">
        <v>3.7657266648883598</v>
      </c>
      <c r="AM7" s="6" t="s">
        <v>44</v>
      </c>
      <c r="AN7" s="12" t="s">
        <v>43</v>
      </c>
      <c r="AO7" s="13">
        <v>20230328</v>
      </c>
      <c r="AP7" s="13">
        <v>46494</v>
      </c>
      <c r="AQ7">
        <v>1.9552546364439201</v>
      </c>
      <c r="AR7">
        <v>0.71515196751850496</v>
      </c>
      <c r="AS7">
        <v>7.0592358435530203E-2</v>
      </c>
      <c r="AT7" s="13">
        <v>3.1214713543174298E-3</v>
      </c>
      <c r="AU7" s="2">
        <v>0.75007170727446604</v>
      </c>
      <c r="AV7" s="2">
        <v>0.24992829272553499</v>
      </c>
      <c r="AW7" s="2">
        <v>0</v>
      </c>
      <c r="AX7" s="3">
        <v>9.72148397348588E-3</v>
      </c>
      <c r="AY7" s="3">
        <v>9.0989336391352395E-3</v>
      </c>
      <c r="AZ7" s="3">
        <v>1.03740719050672E-2</v>
      </c>
      <c r="BA7" s="3">
        <v>8.9617805845334207E-3</v>
      </c>
      <c r="BB7" s="3">
        <v>4.7999241590770602E-3</v>
      </c>
      <c r="BC7" s="3">
        <v>1.33796734733145E-2</v>
      </c>
      <c r="BD7" s="3">
        <v>0</v>
      </c>
      <c r="BE7" s="3">
        <v>0</v>
      </c>
      <c r="BF7" s="3">
        <v>0</v>
      </c>
      <c r="BG7" s="3">
        <v>1.8683264558019299E-2</v>
      </c>
      <c r="BH7" s="3">
        <v>1.57160641584706E-2</v>
      </c>
      <c r="BI7" s="3">
        <v>2.1947961746563299E-2</v>
      </c>
      <c r="BJ7" s="3">
        <v>4.1182706549835399E-2</v>
      </c>
      <c r="BK7" s="3">
        <v>-5.9291569171730698E-3</v>
      </c>
      <c r="BL7" s="3">
        <v>6.7838394733791604E-3</v>
      </c>
      <c r="BM7" s="3">
        <v>3.52535496326623E-2</v>
      </c>
      <c r="BN7" s="3">
        <v>4.7966546023214499E-2</v>
      </c>
      <c r="BO7" s="3">
        <v>1.8009239945758398E-2</v>
      </c>
      <c r="BP7" s="3">
        <v>1.40175773066887E-2</v>
      </c>
      <c r="BQ7" s="3">
        <v>2.3266573166871501E-2</v>
      </c>
      <c r="BR7" s="3">
        <v>0</v>
      </c>
      <c r="BS7" s="3">
        <v>0</v>
      </c>
      <c r="BT7" s="3">
        <v>0</v>
      </c>
      <c r="BU7" s="3">
        <v>4.4902020460576304E-3</v>
      </c>
      <c r="BV7" s="3">
        <v>3.68196567776725E-3</v>
      </c>
      <c r="BW7" s="3">
        <v>5.2984384143480003E-3</v>
      </c>
      <c r="BX7" s="3">
        <v>2.24994419918161E-2</v>
      </c>
      <c r="BY7" s="3">
        <v>1.7699542984456001E-2</v>
      </c>
      <c r="BZ7" s="3">
        <v>2.8565011581219501E-2</v>
      </c>
      <c r="CA7">
        <v>1.6561276723878399E-3</v>
      </c>
      <c r="CB7" s="3">
        <v>1.4869015356820199E-3</v>
      </c>
      <c r="CC7">
        <v>0.98852887440684101</v>
      </c>
      <c r="CD7">
        <v>23779</v>
      </c>
      <c r="CE7">
        <v>1.6821565246646201E-3</v>
      </c>
      <c r="CF7" s="19">
        <v>3.6281801333429601E-4</v>
      </c>
      <c r="CG7" s="19">
        <v>6.33920686319862E-4</v>
      </c>
      <c r="CH7" s="14">
        <v>7.1466180051052</v>
      </c>
      <c r="CI7" s="14">
        <v>6.0889313649336803</v>
      </c>
      <c r="CJ7" s="13">
        <v>8.5396743862920506</v>
      </c>
      <c r="CK7" s="14">
        <v>7.1466180051052</v>
      </c>
      <c r="CL7" s="14">
        <v>6.0889313649336803</v>
      </c>
      <c r="CM7">
        <v>8.5396743862920506</v>
      </c>
      <c r="CN7">
        <v>3.7657266648883598</v>
      </c>
      <c r="CO7">
        <v>3.4335938767901402</v>
      </c>
      <c r="CP7">
        <v>4.1035514769132098</v>
      </c>
      <c r="CQ7">
        <v>7.1678570431895396</v>
      </c>
      <c r="CR7">
        <v>6.0722207461904301</v>
      </c>
      <c r="CS7">
        <v>8.3426882490236594</v>
      </c>
      <c r="CT7">
        <v>1.88011357715516</v>
      </c>
      <c r="CU7">
        <v>1.28984680363987</v>
      </c>
      <c r="CV7">
        <v>2.4821492410045201</v>
      </c>
      <c r="CW7">
        <v>0</v>
      </c>
      <c r="CX7">
        <v>0</v>
      </c>
      <c r="CY7">
        <v>0</v>
      </c>
      <c r="CZ7">
        <v>0.76830900610477204</v>
      </c>
      <c r="DA7">
        <v>0.52142333097980798</v>
      </c>
      <c r="DB7">
        <v>1.0600763311177399</v>
      </c>
      <c r="DC7">
        <v>1.80204354355658</v>
      </c>
      <c r="DD7">
        <v>1.0162877715457499</v>
      </c>
      <c r="DE7">
        <v>3.05794900089959</v>
      </c>
      <c r="DF7">
        <v>0.65490953461773505</v>
      </c>
      <c r="DG7">
        <v>0.65490953461773505</v>
      </c>
      <c r="DH7">
        <v>0.34509046538226401</v>
      </c>
      <c r="DI7">
        <v>0.54633457691552301</v>
      </c>
      <c r="DJ7">
        <v>0.43730235887830299</v>
      </c>
      <c r="DK7">
        <v>4.9505785194343099</v>
      </c>
      <c r="DL7">
        <v>1.8998225307422201</v>
      </c>
      <c r="DM7">
        <v>1.11431917204166E-2</v>
      </c>
      <c r="DN7">
        <v>5.7351807411049602E-2</v>
      </c>
      <c r="DO7">
        <v>0.9</v>
      </c>
      <c r="DP7">
        <v>17.326203208556102</v>
      </c>
      <c r="DQ7">
        <v>0.16471306211505601</v>
      </c>
      <c r="DR7">
        <v>-0.143963705578419</v>
      </c>
      <c r="DS7">
        <v>0</v>
      </c>
      <c r="DT7">
        <v>0</v>
      </c>
      <c r="DX7" s="5">
        <v>5.1200000000000002E-2</v>
      </c>
      <c r="DY7" s="5">
        <v>5.2299999999999999E-2</v>
      </c>
      <c r="DZ7" s="5">
        <v>5.0099999999999999E-2</v>
      </c>
    </row>
    <row r="8" spans="1:130" x14ac:dyDescent="0.2">
      <c r="A8" t="s">
        <v>134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1">
        <v>6.2324804437325696</v>
      </c>
      <c r="R8" s="21">
        <v>8.9789546856623392</v>
      </c>
      <c r="S8" s="21">
        <v>0</v>
      </c>
      <c r="T8">
        <v>1.2427774853092</v>
      </c>
      <c r="U8" s="13">
        <v>15.824840234449001</v>
      </c>
      <c r="V8" s="6">
        <v>14.0931177193749</v>
      </c>
      <c r="W8" s="6">
        <v>17.838027443674601</v>
      </c>
      <c r="X8" s="8">
        <v>1000</v>
      </c>
      <c r="Y8" s="22">
        <v>0.119245726869894</v>
      </c>
      <c r="Z8" s="22">
        <v>11</v>
      </c>
      <c r="AA8" s="9">
        <v>40.99</v>
      </c>
      <c r="AB8" s="8">
        <v>284.66581394117702</v>
      </c>
      <c r="AC8" s="8">
        <v>40365</v>
      </c>
      <c r="AD8" s="8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12">
        <v>89</v>
      </c>
      <c r="AL8" s="4">
        <v>3.9131657281892598</v>
      </c>
      <c r="AM8" s="6" t="s">
        <v>44</v>
      </c>
      <c r="AN8" s="12" t="s">
        <v>43</v>
      </c>
      <c r="AO8" s="13">
        <v>20230328</v>
      </c>
      <c r="AP8" s="13">
        <v>110154</v>
      </c>
      <c r="AQ8">
        <v>4.7679522139981803</v>
      </c>
      <c r="AR8">
        <v>0.45796686083536697</v>
      </c>
      <c r="AS8">
        <v>5.46105912026369E-2</v>
      </c>
      <c r="AT8" s="13">
        <v>3.7708809815120599E-3</v>
      </c>
      <c r="AU8" s="2">
        <v>0.34370241750226199</v>
      </c>
      <c r="AV8" s="2">
        <v>0.65629758249773695</v>
      </c>
      <c r="AW8" s="2">
        <v>0</v>
      </c>
      <c r="AX8" s="3">
        <v>9.3807830519188097E-3</v>
      </c>
      <c r="AY8" s="3">
        <v>8.6619693471609097E-3</v>
      </c>
      <c r="AZ8" s="3">
        <v>1.0006599696552701E-2</v>
      </c>
      <c r="BA8" s="3">
        <v>1.5691693462672501E-2</v>
      </c>
      <c r="BB8" s="3">
        <v>9.9941905168889206E-3</v>
      </c>
      <c r="BC8" s="3">
        <v>2.19235301135869E-2</v>
      </c>
      <c r="BD8" s="3">
        <v>0</v>
      </c>
      <c r="BE8" s="3">
        <v>0</v>
      </c>
      <c r="BF8" s="3">
        <v>0</v>
      </c>
      <c r="BG8" s="3">
        <v>2.50724765145913E-2</v>
      </c>
      <c r="BH8" s="3">
        <v>2.2451773042432399E-2</v>
      </c>
      <c r="BI8" s="3">
        <v>2.7939889900107099E-2</v>
      </c>
      <c r="BJ8" s="3">
        <v>5.5590940181243803E-2</v>
      </c>
      <c r="BK8" s="3">
        <v>-6.0833525849083398E-3</v>
      </c>
      <c r="BL8" s="3">
        <v>7.0721073997371603E-3</v>
      </c>
      <c r="BM8" s="3">
        <v>4.9507587596335403E-2</v>
      </c>
      <c r="BN8" s="3">
        <v>6.2663047580980902E-2</v>
      </c>
      <c r="BO8" s="3">
        <v>2.61527217178633E-2</v>
      </c>
      <c r="BP8" s="3">
        <v>2.1894024988263799E-2</v>
      </c>
      <c r="BQ8" s="3">
        <v>3.1542089867938099E-2</v>
      </c>
      <c r="BR8" s="3">
        <v>0</v>
      </c>
      <c r="BS8" s="3">
        <v>0</v>
      </c>
      <c r="BT8" s="3">
        <v>0</v>
      </c>
      <c r="BU8" s="3">
        <v>4.3657419487891404E-3</v>
      </c>
      <c r="BV8" s="3">
        <v>3.5799083980071001E-3</v>
      </c>
      <c r="BW8" s="3">
        <v>5.1515754995711902E-3</v>
      </c>
      <c r="BX8" s="3">
        <v>3.0518463666652399E-2</v>
      </c>
      <c r="BY8" s="3">
        <v>2.5473933386270901E-2</v>
      </c>
      <c r="BZ8" s="3">
        <v>3.6693665367509301E-2</v>
      </c>
      <c r="CA8">
        <v>7.8072516658496296E-4</v>
      </c>
      <c r="CB8" s="3">
        <v>7.2782649744902598E-4</v>
      </c>
      <c r="CC8">
        <v>0.98053414891832102</v>
      </c>
      <c r="CD8">
        <v>23103</v>
      </c>
      <c r="CE8">
        <v>2.33735878457343E-3</v>
      </c>
      <c r="CF8" s="19">
        <v>3.9502043849869899E-4</v>
      </c>
      <c r="CG8" s="19">
        <v>6.9017010777821098E-4</v>
      </c>
      <c r="CH8" s="14">
        <v>11.9116745062598</v>
      </c>
      <c r="CI8" s="14">
        <v>10.699369135399699</v>
      </c>
      <c r="CJ8" s="13">
        <v>13.4458433773294</v>
      </c>
      <c r="CK8" s="14">
        <v>11.9116745062598</v>
      </c>
      <c r="CL8" s="14">
        <v>10.699369135399699</v>
      </c>
      <c r="CM8">
        <v>13.4458433773294</v>
      </c>
      <c r="CN8">
        <v>3.9131657281892598</v>
      </c>
      <c r="CO8">
        <v>3.5957558285670901</v>
      </c>
      <c r="CP8">
        <v>4.2184518327203504</v>
      </c>
      <c r="CQ8">
        <v>11.914753727551</v>
      </c>
      <c r="CR8">
        <v>10.2944056242256</v>
      </c>
      <c r="CS8">
        <v>13.6773683759417</v>
      </c>
      <c r="CT8">
        <v>2.4029565361942602</v>
      </c>
      <c r="CU8">
        <v>1.76428310107748</v>
      </c>
      <c r="CV8">
        <v>3.2514504490127298</v>
      </c>
      <c r="CW8">
        <v>0</v>
      </c>
      <c r="CX8">
        <v>0</v>
      </c>
      <c r="CY8">
        <v>0</v>
      </c>
      <c r="CZ8">
        <v>0.138455710456029</v>
      </c>
      <c r="DA8">
        <v>7.5047583373751101E-2</v>
      </c>
      <c r="DB8">
        <v>0.448793362887284</v>
      </c>
      <c r="DC8">
        <v>4.25903122943601</v>
      </c>
      <c r="DD8">
        <v>3.30913767946284</v>
      </c>
      <c r="DE8">
        <v>5.6232243854530104</v>
      </c>
      <c r="DF8">
        <v>0.75271877104399798</v>
      </c>
      <c r="DG8">
        <v>0.75271877104399798</v>
      </c>
      <c r="DH8">
        <v>0.24728122895600199</v>
      </c>
      <c r="DI8">
        <v>0.54898165788483</v>
      </c>
      <c r="DJ8">
        <v>0.47044780999379598</v>
      </c>
      <c r="DK8">
        <v>7.1372769345471703</v>
      </c>
      <c r="DL8">
        <v>2.62073251918962</v>
      </c>
      <c r="DM8">
        <v>1.2321595201539901E-2</v>
      </c>
      <c r="DN8">
        <v>5.4455461287783197E-2</v>
      </c>
      <c r="DO8">
        <v>0.9</v>
      </c>
      <c r="DP8">
        <v>17.326203208556102</v>
      </c>
      <c r="DQ8">
        <v>0.12720406856347999</v>
      </c>
      <c r="DR8">
        <v>-0.109434453064041</v>
      </c>
      <c r="DS8">
        <v>0</v>
      </c>
      <c r="DT8">
        <v>0</v>
      </c>
      <c r="DX8" s="5">
        <v>4.8500000000000001E-2</v>
      </c>
      <c r="DY8" s="5">
        <v>4.9599999999999998E-2</v>
      </c>
      <c r="DZ8" s="5">
        <v>4.7399999999999998E-2</v>
      </c>
    </row>
    <row r="9" spans="1:130" x14ac:dyDescent="0.2">
      <c r="A9" t="s">
        <v>136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1">
        <v>3.5147838181794602</v>
      </c>
      <c r="R9" s="21">
        <v>5.1391793110416204</v>
      </c>
      <c r="S9" s="21">
        <v>0</v>
      </c>
      <c r="T9">
        <v>0.87037444810168496</v>
      </c>
      <c r="U9" s="13">
        <v>10.7084430154654</v>
      </c>
      <c r="V9" s="6">
        <v>9.55660912366295</v>
      </c>
      <c r="W9" s="6">
        <v>12.0774504573049</v>
      </c>
      <c r="X9" s="8">
        <v>1000</v>
      </c>
      <c r="Y9" s="22">
        <v>0.14962665851669699</v>
      </c>
      <c r="Z9" s="22">
        <v>23.632191899999999</v>
      </c>
      <c r="AA9" s="9">
        <v>36.556643837999999</v>
      </c>
      <c r="AB9" s="8">
        <v>231.42088684492001</v>
      </c>
      <c r="AC9" s="8">
        <v>31919</v>
      </c>
      <c r="AD9" s="8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0</v>
      </c>
      <c r="AK9" s="12">
        <v>0</v>
      </c>
      <c r="AL9" s="4">
        <v>2.6841376128768699</v>
      </c>
      <c r="AM9" s="6" t="s">
        <v>44</v>
      </c>
      <c r="AN9" s="12" t="s">
        <v>43</v>
      </c>
      <c r="AO9" s="13">
        <v>20230328</v>
      </c>
      <c r="AP9" s="13">
        <v>119442</v>
      </c>
      <c r="AQ9">
        <v>7.4688594297148603</v>
      </c>
      <c r="AR9">
        <v>0.36590880241805002</v>
      </c>
      <c r="AS9">
        <v>5.4749711427658998E-2</v>
      </c>
      <c r="AT9" s="13">
        <v>4.7316103959299301E-3</v>
      </c>
      <c r="AU9" s="2">
        <v>0.25471912132991698</v>
      </c>
      <c r="AV9" s="2">
        <v>0.74528087867008497</v>
      </c>
      <c r="AW9" s="2">
        <v>0</v>
      </c>
      <c r="AX9" s="3">
        <v>7.8375084872551997E-3</v>
      </c>
      <c r="AY9" s="3">
        <v>7.3024322901875296E-3</v>
      </c>
      <c r="AZ9" s="3">
        <v>8.50362431025504E-3</v>
      </c>
      <c r="BA9" s="3">
        <v>1.6573048836354E-2</v>
      </c>
      <c r="BB9" s="3">
        <v>8.6977631378049296E-3</v>
      </c>
      <c r="BC9" s="3">
        <v>2.61425399522256E-2</v>
      </c>
      <c r="BD9" s="3">
        <v>0</v>
      </c>
      <c r="BE9" s="3">
        <v>0</v>
      </c>
      <c r="BF9" s="3">
        <v>0</v>
      </c>
      <c r="BG9" s="3">
        <v>2.4410557323609201E-2</v>
      </c>
      <c r="BH9" s="3">
        <v>2.1513388499035099E-2</v>
      </c>
      <c r="BI9" s="3">
        <v>2.7905043875539399E-2</v>
      </c>
      <c r="BJ9" s="3">
        <v>4.6272586547649902E-2</v>
      </c>
      <c r="BK9" s="3">
        <v>-4.97722529502865E-3</v>
      </c>
      <c r="BL9" s="3">
        <v>5.91566068432207E-3</v>
      </c>
      <c r="BM9" s="3">
        <v>4.1295361252621197E-2</v>
      </c>
      <c r="BN9" s="3">
        <v>5.2188247231971997E-2</v>
      </c>
      <c r="BO9" s="3">
        <v>1.81010270951147E-2</v>
      </c>
      <c r="BP9" s="3">
        <v>1.51878417981122E-2</v>
      </c>
      <c r="BQ9" s="3">
        <v>2.2207067741839101E-2</v>
      </c>
      <c r="BR9" s="3">
        <v>0</v>
      </c>
      <c r="BS9" s="3">
        <v>0</v>
      </c>
      <c r="BT9" s="3">
        <v>0</v>
      </c>
      <c r="BU9" s="3">
        <v>3.7610021289259899E-3</v>
      </c>
      <c r="BV9" s="3">
        <v>3.0840217457193098E-3</v>
      </c>
      <c r="BW9" s="3">
        <v>4.4379825121326696E-3</v>
      </c>
      <c r="BX9" s="3">
        <v>2.1862029224040701E-2</v>
      </c>
      <c r="BY9" s="3">
        <v>1.82718635438315E-2</v>
      </c>
      <c r="BZ9" s="3">
        <v>2.6645050253971798E-2</v>
      </c>
      <c r="CA9">
        <v>7.8699285008623397E-4</v>
      </c>
      <c r="CB9" s="3">
        <v>7.57371778771287E-4</v>
      </c>
      <c r="CC9">
        <v>0.98361070071780798</v>
      </c>
      <c r="CD9">
        <v>15992</v>
      </c>
      <c r="CE9">
        <v>2.4387193596798399E-3</v>
      </c>
      <c r="CF9" s="19">
        <v>4.1783890472759202E-4</v>
      </c>
      <c r="CG9" s="19">
        <v>8.3397948974487204E-4</v>
      </c>
      <c r="CH9" s="14">
        <v>8.0243054025885705</v>
      </c>
      <c r="CI9" s="14">
        <v>7.3501334776126699</v>
      </c>
      <c r="CJ9" s="13">
        <v>8.9745289704748306</v>
      </c>
      <c r="CK9" s="14">
        <v>8.0243054025885705</v>
      </c>
      <c r="CL9" s="14">
        <v>7.3501334776126699</v>
      </c>
      <c r="CM9">
        <v>8.9745289704748306</v>
      </c>
      <c r="CN9">
        <v>2.6841376128768699</v>
      </c>
      <c r="CO9">
        <v>2.4821605272671001</v>
      </c>
      <c r="CP9">
        <v>2.8972109950509002</v>
      </c>
      <c r="CQ9">
        <v>8.0265416555422604</v>
      </c>
      <c r="CR9">
        <v>6.2056204621807902</v>
      </c>
      <c r="CS9">
        <v>10.2370346219816</v>
      </c>
      <c r="CT9">
        <v>3.5707010052371499</v>
      </c>
      <c r="CU9">
        <v>2.9721721089836199</v>
      </c>
      <c r="CV9">
        <v>4.25430516055465</v>
      </c>
      <c r="CW9">
        <v>0.52539664562560495</v>
      </c>
      <c r="CX9">
        <v>0.34291688111415097</v>
      </c>
      <c r="CY9">
        <v>1.2972066703190399</v>
      </c>
      <c r="CZ9">
        <v>1.8675890044228999E-2</v>
      </c>
      <c r="DA9">
        <v>1.1462353517427E-2</v>
      </c>
      <c r="DB9">
        <v>7.5036913098883606E-2</v>
      </c>
      <c r="DC9">
        <v>7.4182202248383997E-2</v>
      </c>
      <c r="DD9">
        <v>4.7038281462944302E-2</v>
      </c>
      <c r="DE9">
        <v>0.237431763005473</v>
      </c>
      <c r="DF9">
        <v>0.74933356808344598</v>
      </c>
      <c r="DG9">
        <v>0.74933356808344598</v>
      </c>
      <c r="DH9">
        <v>0.25066643191655402</v>
      </c>
      <c r="DI9">
        <v>0.472451026317669</v>
      </c>
      <c r="DJ9">
        <v>0.39116880896364198</v>
      </c>
      <c r="DK9">
        <v>5.6491128242083901</v>
      </c>
      <c r="DL9">
        <v>3.0636928999297801</v>
      </c>
      <c r="DM9">
        <v>1.44710409482816E-2</v>
      </c>
      <c r="DN9">
        <v>6.1625507639022699E-2</v>
      </c>
      <c r="DO9">
        <v>0.9</v>
      </c>
      <c r="DP9">
        <v>17.326203208556102</v>
      </c>
      <c r="DQ9">
        <v>0.127851592277788</v>
      </c>
      <c r="DR9">
        <v>-0.10756282083737401</v>
      </c>
      <c r="DS9">
        <v>0</v>
      </c>
      <c r="DT9">
        <v>0</v>
      </c>
      <c r="DX9" s="5">
        <v>5.6500000000000002E-2</v>
      </c>
      <c r="DY9" s="5">
        <v>5.74E-2</v>
      </c>
      <c r="DZ9" s="5">
        <v>5.5500000000000001E-2</v>
      </c>
    </row>
    <row r="10" spans="1:130" x14ac:dyDescent="0.2">
      <c r="A10" t="s">
        <v>135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1">
        <v>2.9650902195036299</v>
      </c>
      <c r="R10" s="21">
        <v>4.9503655806375804</v>
      </c>
      <c r="S10" s="21">
        <v>0</v>
      </c>
      <c r="T10">
        <v>0.922322870866917</v>
      </c>
      <c r="U10" s="13">
        <v>9.1777350119606904</v>
      </c>
      <c r="V10" s="6">
        <v>7.8798002377591496</v>
      </c>
      <c r="W10" s="6">
        <v>10.6741795653304</v>
      </c>
      <c r="X10" s="8">
        <v>1000</v>
      </c>
      <c r="Y10" s="22">
        <v>0.19641561359277601</v>
      </c>
      <c r="Z10" s="22">
        <v>20.646401600000001</v>
      </c>
      <c r="AA10" s="9">
        <v>37.591104176000002</v>
      </c>
      <c r="AB10" s="8">
        <v>245.23327540106999</v>
      </c>
      <c r="AC10" s="8">
        <v>33090</v>
      </c>
      <c r="AD10" s="8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0</v>
      </c>
      <c r="AK10" s="12">
        <v>0</v>
      </c>
      <c r="AL10" s="4">
        <v>2.81018498888732</v>
      </c>
      <c r="AM10" s="6" t="s">
        <v>44</v>
      </c>
      <c r="AN10" s="12" t="s">
        <v>43</v>
      </c>
      <c r="AO10" s="13">
        <v>20230328</v>
      </c>
      <c r="AP10" s="13">
        <v>119733</v>
      </c>
      <c r="AQ10">
        <v>7.2219675493093698</v>
      </c>
      <c r="AR10">
        <v>0.37211076458539299</v>
      </c>
      <c r="AS10">
        <v>7.3088364150517199E-2</v>
      </c>
      <c r="AT10" s="13">
        <v>6.21120706972702E-3</v>
      </c>
      <c r="AU10" s="2">
        <v>0.44663384651753002</v>
      </c>
      <c r="AV10" s="2">
        <v>0.55336615348246998</v>
      </c>
      <c r="AW10" s="2">
        <v>0</v>
      </c>
      <c r="AX10" s="3">
        <v>7.69822983823416E-3</v>
      </c>
      <c r="AY10" s="3">
        <v>7.1418995822199703E-3</v>
      </c>
      <c r="AZ10" s="3">
        <v>8.2889431366041707E-3</v>
      </c>
      <c r="BA10" s="3">
        <v>1.0495089435330699E-2</v>
      </c>
      <c r="BB10" s="3">
        <v>3.63173255291934E-3</v>
      </c>
      <c r="BC10" s="3">
        <v>2.03861409666596E-2</v>
      </c>
      <c r="BD10" s="3">
        <v>0</v>
      </c>
      <c r="BE10" s="3">
        <v>0</v>
      </c>
      <c r="BF10" s="3">
        <v>0</v>
      </c>
      <c r="BG10" s="3">
        <v>1.8193319273564899E-2</v>
      </c>
      <c r="BH10" s="3">
        <v>1.5631629706796799E-2</v>
      </c>
      <c r="BI10" s="3">
        <v>2.19029628530064E-2</v>
      </c>
      <c r="BJ10" s="3">
        <v>3.7424509365422999E-2</v>
      </c>
      <c r="BK10" s="3">
        <v>-5.2926535849542504E-3</v>
      </c>
      <c r="BL10" s="3">
        <v>6.1021268460501703E-3</v>
      </c>
      <c r="BM10" s="3">
        <v>3.2131855780468802E-2</v>
      </c>
      <c r="BN10" s="3">
        <v>4.3526636211473201E-2</v>
      </c>
      <c r="BO10" s="3">
        <v>1.5470187962932201E-2</v>
      </c>
      <c r="BP10" s="3">
        <v>1.2090896778401399E-2</v>
      </c>
      <c r="BQ10" s="3">
        <v>2.0186353473204001E-2</v>
      </c>
      <c r="BR10" s="3">
        <v>0</v>
      </c>
      <c r="BS10" s="3">
        <v>0</v>
      </c>
      <c r="BT10" s="3">
        <v>0</v>
      </c>
      <c r="BU10" s="3">
        <v>3.7610021289259899E-3</v>
      </c>
      <c r="BV10" s="3">
        <v>3.0840217457193098E-3</v>
      </c>
      <c r="BW10" s="3">
        <v>4.4379825121326696E-3</v>
      </c>
      <c r="BX10" s="3">
        <v>1.92311900918582E-2</v>
      </c>
      <c r="BY10" s="3">
        <v>1.51749185241208E-2</v>
      </c>
      <c r="BZ10" s="3">
        <v>2.4624335985336698E-2</v>
      </c>
      <c r="CA10">
        <v>4.0089198466588199E-4</v>
      </c>
      <c r="CB10" s="3">
        <v>3.7801608579088498E-4</v>
      </c>
      <c r="CC10">
        <v>0.98378097165993605</v>
      </c>
      <c r="CD10">
        <v>16579</v>
      </c>
      <c r="CE10">
        <v>1.6285662585198101E-3</v>
      </c>
      <c r="CF10" s="19">
        <v>2.4378966455122401E-4</v>
      </c>
      <c r="CG10" s="19">
        <v>4.8657940768441997E-4</v>
      </c>
      <c r="CH10" s="14">
        <v>6.3675500230733597</v>
      </c>
      <c r="CI10" s="14">
        <v>5.5388353773569303</v>
      </c>
      <c r="CJ10" s="13">
        <v>7.5241107384908901</v>
      </c>
      <c r="CK10" s="14">
        <v>6.3675500230733597</v>
      </c>
      <c r="CL10" s="14">
        <v>5.5388353773569303</v>
      </c>
      <c r="CM10">
        <v>7.5241107384908901</v>
      </c>
      <c r="CN10">
        <v>2.81018498888732</v>
      </c>
      <c r="CO10">
        <v>2.5933995434323802</v>
      </c>
      <c r="CP10">
        <v>3.03010802248183</v>
      </c>
      <c r="CQ10">
        <v>6.3643978812168696</v>
      </c>
      <c r="CR10">
        <v>4.6697631750794297</v>
      </c>
      <c r="CS10">
        <v>8.7994817956366802</v>
      </c>
      <c r="CT10">
        <v>2.8943582339012002</v>
      </c>
      <c r="CU10">
        <v>2.2094105376218698</v>
      </c>
      <c r="CV10">
        <v>3.8017290601853202</v>
      </c>
      <c r="CW10">
        <v>0.67488330392568097</v>
      </c>
      <c r="CX10">
        <v>0.42375196169598001</v>
      </c>
      <c r="CY10">
        <v>1.5724614890986199</v>
      </c>
      <c r="CZ10">
        <v>0.224563327393178</v>
      </c>
      <c r="DA10">
        <v>0.154502075300994</v>
      </c>
      <c r="DB10">
        <v>0.28627926784282098</v>
      </c>
      <c r="DC10">
        <v>0</v>
      </c>
      <c r="DD10">
        <v>0</v>
      </c>
      <c r="DE10">
        <v>0</v>
      </c>
      <c r="DF10">
        <v>0.69379041493177296</v>
      </c>
      <c r="DG10">
        <v>0.69379041493177296</v>
      </c>
      <c r="DH10">
        <v>0.30620958506822699</v>
      </c>
      <c r="DI10">
        <v>0.51385382909321997</v>
      </c>
      <c r="DJ10">
        <v>0.41335314005573298</v>
      </c>
      <c r="DK10">
        <v>4.4616072758737202</v>
      </c>
      <c r="DL10">
        <v>2.3250251629262002</v>
      </c>
      <c r="DM10">
        <v>1.4791801399425099E-2</v>
      </c>
      <c r="DN10">
        <v>6.1625507639022699E-2</v>
      </c>
      <c r="DO10">
        <v>0.9</v>
      </c>
      <c r="DP10">
        <v>17.326203208556102</v>
      </c>
      <c r="DQ10">
        <v>0.163020995675763</v>
      </c>
      <c r="DR10">
        <v>-0.14142859065049199</v>
      </c>
      <c r="DS10">
        <v>0</v>
      </c>
      <c r="DT10">
        <v>0</v>
      </c>
      <c r="DX10" s="5">
        <v>5.6500000000000002E-2</v>
      </c>
      <c r="DY10" s="5">
        <v>5.74E-2</v>
      </c>
      <c r="DZ10" s="5">
        <v>5.5500000000000001E-2</v>
      </c>
    </row>
    <row r="11" spans="1:130" x14ac:dyDescent="0.2">
      <c r="A11" t="s">
        <v>137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1">
        <v>0.55990172198576005</v>
      </c>
      <c r="R11" s="21">
        <v>1.0641179314861999</v>
      </c>
      <c r="S11" s="21">
        <v>0</v>
      </c>
      <c r="T11">
        <v>0.74474802017904296</v>
      </c>
      <c r="U11" s="13">
        <v>5.02141607047019</v>
      </c>
      <c r="V11" s="6">
        <v>4.3764155688882802</v>
      </c>
      <c r="W11" s="6">
        <v>5.7468923066922004</v>
      </c>
      <c r="X11" s="8">
        <v>1000</v>
      </c>
      <c r="Y11" s="22">
        <v>0.111421422118788</v>
      </c>
      <c r="Z11" s="22">
        <v>15.958829700000001</v>
      </c>
      <c r="AA11" s="9">
        <v>23.222999999999999</v>
      </c>
      <c r="AB11" s="8">
        <v>198.01850534759399</v>
      </c>
      <c r="AC11" s="8">
        <v>33418</v>
      </c>
      <c r="AD11" s="8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0</v>
      </c>
      <c r="AK11" s="12">
        <v>0</v>
      </c>
      <c r="AL11" s="4">
        <v>2.4726937247302598</v>
      </c>
      <c r="AM11" s="6" t="s">
        <v>44</v>
      </c>
      <c r="AN11" s="12" t="s">
        <v>43</v>
      </c>
      <c r="AO11" s="13">
        <v>20230328</v>
      </c>
      <c r="AP11" s="13">
        <v>59793</v>
      </c>
      <c r="AQ11">
        <v>3.5712237950188102</v>
      </c>
      <c r="AR11">
        <v>0.52916543291403595</v>
      </c>
      <c r="AS11">
        <v>5.8960365071386099E-2</v>
      </c>
      <c r="AT11" s="13">
        <v>3.52345474030435E-3</v>
      </c>
      <c r="AU11" s="2">
        <v>0.42546891154361499</v>
      </c>
      <c r="AV11" s="2">
        <v>0.57453108845638501</v>
      </c>
      <c r="AW11" s="2">
        <v>0</v>
      </c>
      <c r="AX11" s="3">
        <v>8.7261829469829095E-3</v>
      </c>
      <c r="AY11" s="3">
        <v>8.1397538046155196E-3</v>
      </c>
      <c r="AZ11" s="3">
        <v>9.3303989862745604E-3</v>
      </c>
      <c r="BA11" s="3">
        <v>8.8616383198732909E-3</v>
      </c>
      <c r="BB11" s="3">
        <v>4.4400180639323399E-3</v>
      </c>
      <c r="BC11" s="3">
        <v>1.41853384833586E-2</v>
      </c>
      <c r="BD11" s="3">
        <v>0</v>
      </c>
      <c r="BE11" s="3">
        <v>0</v>
      </c>
      <c r="BF11" s="3">
        <v>0</v>
      </c>
      <c r="BG11" s="3">
        <v>1.75878212668562E-2</v>
      </c>
      <c r="BH11" s="3">
        <v>1.52767709356545E-2</v>
      </c>
      <c r="BI11" s="3">
        <v>2.0395024611603099E-2</v>
      </c>
      <c r="BJ11" s="3">
        <v>2.5358317201999901E-2</v>
      </c>
      <c r="BK11" s="3">
        <v>-3.25727386160048E-3</v>
      </c>
      <c r="BL11" s="3">
        <v>3.6636789826715102E-3</v>
      </c>
      <c r="BM11" s="3">
        <v>2.21010433403994E-2</v>
      </c>
      <c r="BN11" s="3">
        <v>2.9021996184671401E-2</v>
      </c>
      <c r="BO11" s="3">
        <v>4.00949380621771E-3</v>
      </c>
      <c r="BP11" s="3">
        <v>2.8275222106284E-3</v>
      </c>
      <c r="BQ11" s="3">
        <v>5.3738307418202602E-3</v>
      </c>
      <c r="BR11" s="3">
        <v>0</v>
      </c>
      <c r="BS11" s="3">
        <v>0</v>
      </c>
      <c r="BT11" s="3">
        <v>0</v>
      </c>
      <c r="BU11" s="3">
        <v>3.7610021289259899E-3</v>
      </c>
      <c r="BV11" s="3">
        <v>3.0840217457193098E-3</v>
      </c>
      <c r="BW11" s="3">
        <v>4.4379825121326696E-3</v>
      </c>
      <c r="BX11" s="3">
        <v>7.7704959351437E-3</v>
      </c>
      <c r="BY11" s="3">
        <v>5.9115439563477198E-3</v>
      </c>
      <c r="BZ11" s="3">
        <v>9.8118132539529307E-3</v>
      </c>
      <c r="CA11">
        <v>7.8604518923619797E-4</v>
      </c>
      <c r="CB11" s="3">
        <v>6.8804040606760002E-4</v>
      </c>
      <c r="CC11">
        <v>0.96072198300029699</v>
      </c>
      <c r="CD11">
        <v>16743</v>
      </c>
      <c r="CE11">
        <v>2.0904258496087899E-3</v>
      </c>
      <c r="CF11" s="19">
        <v>4.7028547489377001E-4</v>
      </c>
      <c r="CG11" s="19">
        <v>9.3866093292719395E-4</v>
      </c>
      <c r="CH11" s="14">
        <v>2.5487223457399302</v>
      </c>
      <c r="CI11" s="14">
        <v>2.3146700970180301</v>
      </c>
      <c r="CJ11" s="13">
        <v>2.8188863065184702</v>
      </c>
      <c r="CK11" s="14">
        <v>2.5487223457399302</v>
      </c>
      <c r="CL11" s="14">
        <v>2.3146700970180301</v>
      </c>
      <c r="CM11">
        <v>2.8188863065184702</v>
      </c>
      <c r="CN11">
        <v>2.4726937247302598</v>
      </c>
      <c r="CO11">
        <v>2.27719036841814</v>
      </c>
      <c r="CP11">
        <v>2.67006087299881</v>
      </c>
      <c r="CQ11">
        <v>2.5597313430508901</v>
      </c>
      <c r="CR11">
        <v>1.6740932078158199</v>
      </c>
      <c r="CS11">
        <v>3.6189041920056302</v>
      </c>
      <c r="CT11">
        <v>0.53770521432547802</v>
      </c>
      <c r="CU11">
        <v>0.36721407582927101</v>
      </c>
      <c r="CV11">
        <v>0.75176111672585999</v>
      </c>
      <c r="CW11">
        <v>0.25624875638218603</v>
      </c>
      <c r="CX11">
        <v>0.124270989994407</v>
      </c>
      <c r="CY11">
        <v>0.43673429972467898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0.50756012312233301</v>
      </c>
      <c r="DG11">
        <v>0.50756012312233301</v>
      </c>
      <c r="DH11">
        <v>0.49243987687766699</v>
      </c>
      <c r="DI11">
        <v>0.30642374317547499</v>
      </c>
      <c r="DJ11">
        <v>0.15810583583248999</v>
      </c>
      <c r="DK11">
        <v>3.4827140795834901</v>
      </c>
      <c r="DL11">
        <v>1.9363580438986501</v>
      </c>
      <c r="DM11">
        <v>1.1826942922271599E-2</v>
      </c>
      <c r="DN11">
        <v>6.1625507639022699E-2</v>
      </c>
      <c r="DO11">
        <v>0.9</v>
      </c>
      <c r="DP11">
        <v>17.326203208556102</v>
      </c>
      <c r="DQ11">
        <v>0.144463560643878</v>
      </c>
      <c r="DR11">
        <v>-0.12844560617747</v>
      </c>
      <c r="DS11">
        <v>0</v>
      </c>
      <c r="DT11">
        <v>0</v>
      </c>
      <c r="DX11" s="5">
        <v>5.6500000000000002E-2</v>
      </c>
      <c r="DY11" s="5">
        <v>5.74E-2</v>
      </c>
      <c r="DZ11" s="5">
        <v>5.5500000000000001E-2</v>
      </c>
    </row>
    <row r="12" spans="1:130" x14ac:dyDescent="0.2">
      <c r="A12" t="s">
        <v>138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1">
        <v>0.471934692910493</v>
      </c>
      <c r="R12" s="21">
        <v>1.0533050864203899</v>
      </c>
      <c r="S12" s="21">
        <v>0</v>
      </c>
      <c r="T12">
        <v>6.2465240391779702</v>
      </c>
      <c r="U12" s="13">
        <v>21.497665169030402</v>
      </c>
      <c r="V12" s="6">
        <v>19.584264868235699</v>
      </c>
      <c r="W12" s="6">
        <v>23.515509072318402</v>
      </c>
      <c r="X12" s="8">
        <v>1000</v>
      </c>
      <c r="Y12" s="22">
        <v>4.7402711946863699E-2</v>
      </c>
      <c r="Z12" s="22">
        <v>11.1023447</v>
      </c>
      <c r="AA12" s="9">
        <v>75.042000000000002</v>
      </c>
      <c r="AB12" s="8">
        <v>1997.39449106952</v>
      </c>
      <c r="AC12" s="8">
        <v>11671</v>
      </c>
      <c r="AD12" s="8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0</v>
      </c>
      <c r="AK12" s="12">
        <v>0</v>
      </c>
      <c r="AL12" s="4">
        <v>18.479356816409801</v>
      </c>
      <c r="AM12" s="6" t="s">
        <v>44</v>
      </c>
      <c r="AN12" s="12" t="s">
        <v>43</v>
      </c>
      <c r="AO12" s="13">
        <v>20230328</v>
      </c>
      <c r="AP12" s="13">
        <v>36894</v>
      </c>
      <c r="AQ12">
        <v>5.0860215053763396</v>
      </c>
      <c r="AR12">
        <v>0.44341553440561798</v>
      </c>
      <c r="AS12">
        <v>2.1019098850194099E-2</v>
      </c>
      <c r="AT12" s="13">
        <v>1.4990053702096399E-3</v>
      </c>
      <c r="AU12" s="2">
        <v>0.89945090903104996</v>
      </c>
      <c r="AV12" s="2">
        <v>0.100549090968951</v>
      </c>
      <c r="AW12" s="2">
        <v>0</v>
      </c>
      <c r="AX12" s="3">
        <v>6.1243949715119404E-3</v>
      </c>
      <c r="AY12" s="3">
        <v>5.81635840061744E-3</v>
      </c>
      <c r="AZ12" s="3">
        <v>6.4430521718298701E-3</v>
      </c>
      <c r="BA12" s="3">
        <v>1.15389982879781E-3</v>
      </c>
      <c r="BB12" s="3">
        <v>4.1748478903712001E-4</v>
      </c>
      <c r="BC12" s="3">
        <v>2.0494894423552898E-3</v>
      </c>
      <c r="BD12" s="3">
        <v>0</v>
      </c>
      <c r="BE12" s="3">
        <v>0</v>
      </c>
      <c r="BF12" s="3">
        <v>0</v>
      </c>
      <c r="BG12" s="3">
        <v>7.2782948003097502E-3</v>
      </c>
      <c r="BH12" s="3">
        <v>6.91746561323102E-3</v>
      </c>
      <c r="BI12" s="3">
        <v>7.7094773278777503E-3</v>
      </c>
      <c r="BJ12" s="3">
        <v>1.0762853940545001E-2</v>
      </c>
      <c r="BK12" s="3">
        <v>-9.5794812159018196E-4</v>
      </c>
      <c r="BL12" s="3">
        <v>1.0102380437664901E-3</v>
      </c>
      <c r="BM12" s="3">
        <v>9.8049058189547799E-3</v>
      </c>
      <c r="BN12" s="3">
        <v>1.17730919843115E-2</v>
      </c>
      <c r="BO12" s="3">
        <v>3.5722296948547002E-4</v>
      </c>
      <c r="BP12" s="3">
        <v>2.3627515496840699E-4</v>
      </c>
      <c r="BQ12" s="3">
        <v>5.2733953714691195E-4</v>
      </c>
      <c r="BR12" s="3">
        <v>0</v>
      </c>
      <c r="BS12" s="3">
        <v>0</v>
      </c>
      <c r="BT12" s="3">
        <v>0</v>
      </c>
      <c r="BU12" s="3">
        <v>3.12733617074974E-3</v>
      </c>
      <c r="BV12" s="3">
        <v>2.5644156600147898E-3</v>
      </c>
      <c r="BW12" s="3">
        <v>3.6902566814846901E-3</v>
      </c>
      <c r="BX12" s="3">
        <v>3.4845591402352101E-3</v>
      </c>
      <c r="BY12" s="3">
        <v>2.8006908149831901E-3</v>
      </c>
      <c r="BZ12" s="3">
        <v>4.2175962186316099E-3</v>
      </c>
      <c r="CA12">
        <v>9.2155906109394497E-4</v>
      </c>
      <c r="CB12" s="3">
        <v>7.3591911964004995E-4</v>
      </c>
      <c r="CC12">
        <v>0.977032629775754</v>
      </c>
      <c r="CD12">
        <v>7254</v>
      </c>
      <c r="CE12">
        <v>3.7220843672456602E-3</v>
      </c>
      <c r="CF12" s="19">
        <v>7.27529774655128E-4</v>
      </c>
      <c r="CG12" s="19">
        <v>1.1705266060104799E-3</v>
      </c>
      <c r="CH12" s="14">
        <v>3.0183083526205898</v>
      </c>
      <c r="CI12" s="14">
        <v>2.7767278541973099</v>
      </c>
      <c r="CJ12" s="13">
        <v>3.3580982477072099</v>
      </c>
      <c r="CK12" s="14">
        <v>3.0183083526205898</v>
      </c>
      <c r="CL12" s="14">
        <v>2.7767278541973099</v>
      </c>
      <c r="CM12">
        <v>3.3580982477072099</v>
      </c>
      <c r="CN12">
        <v>18.479356816409801</v>
      </c>
      <c r="CO12">
        <v>17.0821619697351</v>
      </c>
      <c r="CP12">
        <v>19.885958096968601</v>
      </c>
      <c r="CQ12">
        <v>3.0631320410277398</v>
      </c>
      <c r="CR12">
        <v>1.59519471954584</v>
      </c>
      <c r="CS12">
        <v>4.8604373100087797</v>
      </c>
      <c r="CT12">
        <v>0.219429155648552</v>
      </c>
      <c r="CU12">
        <v>0.12527469893777499</v>
      </c>
      <c r="CV12">
        <v>0.40408769423949698</v>
      </c>
      <c r="CW12">
        <v>0.25155834243246999</v>
      </c>
      <c r="CX12">
        <v>0.13947766971292599</v>
      </c>
      <c r="CY12">
        <v>0.452443447051461</v>
      </c>
      <c r="CZ12">
        <v>0.242527693252751</v>
      </c>
      <c r="DA12">
        <v>0.134705180207977</v>
      </c>
      <c r="DB12">
        <v>0.51540878569273396</v>
      </c>
      <c r="DC12">
        <v>0</v>
      </c>
      <c r="DD12">
        <v>0</v>
      </c>
      <c r="DE12">
        <v>0</v>
      </c>
      <c r="DF12">
        <v>0.14039880472702099</v>
      </c>
      <c r="DG12">
        <v>0.14039880472702099</v>
      </c>
      <c r="DH12">
        <v>0.85960119527297896</v>
      </c>
      <c r="DI12">
        <v>0.32375999742536699</v>
      </c>
      <c r="DJ12">
        <v>3.3190530220754799E-2</v>
      </c>
      <c r="DK12">
        <v>14.5376259385186</v>
      </c>
      <c r="DL12">
        <v>1.16111596254979</v>
      </c>
      <c r="DM12">
        <v>0.27535077075675701</v>
      </c>
      <c r="DN12">
        <v>9.7082922446813796E-3</v>
      </c>
      <c r="DO12">
        <v>0.9</v>
      </c>
      <c r="DP12">
        <v>17.326203208556102</v>
      </c>
      <c r="DQ12">
        <v>9.3858945176240896E-2</v>
      </c>
      <c r="DR12">
        <v>-8.9003162278829595E-2</v>
      </c>
      <c r="DS12">
        <v>0</v>
      </c>
      <c r="DT12">
        <v>0</v>
      </c>
      <c r="DX12" s="5">
        <v>5.4000000000000003E-3</v>
      </c>
      <c r="DY12" s="5">
        <v>6.1999999999999998E-3</v>
      </c>
      <c r="DZ12" s="5">
        <v>4.7000000000000002E-3</v>
      </c>
    </row>
    <row r="13" spans="1:130" x14ac:dyDescent="0.2">
      <c r="A13" t="s">
        <v>139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1">
        <v>1.57251959052246</v>
      </c>
      <c r="R13" s="21">
        <v>4.0986749932878501</v>
      </c>
      <c r="S13" s="21">
        <v>0</v>
      </c>
      <c r="T13">
        <v>6.1693766305727804</v>
      </c>
      <c r="U13" s="13">
        <v>23.128729901447802</v>
      </c>
      <c r="V13" s="6">
        <v>20.796504563882301</v>
      </c>
      <c r="W13" s="6">
        <v>26.224277525176401</v>
      </c>
      <c r="X13" s="8">
        <v>1000</v>
      </c>
      <c r="Y13" s="22">
        <v>8.9035172319459899E-2</v>
      </c>
      <c r="Z13" s="22">
        <v>10.160212599999999</v>
      </c>
      <c r="AA13" s="9">
        <v>66.55</v>
      </c>
      <c r="AB13" s="8">
        <v>1972.72576203209</v>
      </c>
      <c r="AC13" s="8">
        <v>11688</v>
      </c>
      <c r="AD13" s="8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0</v>
      </c>
      <c r="AK13" s="12">
        <v>0</v>
      </c>
      <c r="AL13" s="4">
        <v>18.4891478990412</v>
      </c>
      <c r="AM13" s="6" t="s">
        <v>44</v>
      </c>
      <c r="AN13" s="12" t="s">
        <v>43</v>
      </c>
      <c r="AO13" s="13">
        <v>20230328</v>
      </c>
      <c r="AP13" s="13">
        <v>42149</v>
      </c>
      <c r="AQ13">
        <v>5.8016517549896802</v>
      </c>
      <c r="AR13">
        <v>0.41516828655555399</v>
      </c>
      <c r="AS13">
        <v>3.6964579935048703E-2</v>
      </c>
      <c r="AT13" s="13">
        <v>2.8155393639507E-3</v>
      </c>
      <c r="AU13" s="2">
        <v>0.87637878410009695</v>
      </c>
      <c r="AV13" s="2">
        <v>0.12362121589990201</v>
      </c>
      <c r="AW13" s="2">
        <v>0</v>
      </c>
      <c r="AX13" s="3">
        <v>6.2450501258613398E-3</v>
      </c>
      <c r="AY13" s="3">
        <v>5.92968036304192E-3</v>
      </c>
      <c r="AZ13" s="3">
        <v>6.5790785726326101E-3</v>
      </c>
      <c r="BA13" s="3">
        <v>1.16929785171899E-3</v>
      </c>
      <c r="BB13" s="3">
        <v>2.86541231247572E-4</v>
      </c>
      <c r="BC13" s="3">
        <v>2.2295461006873601E-3</v>
      </c>
      <c r="BD13" s="3">
        <v>0</v>
      </c>
      <c r="BE13" s="3">
        <v>0</v>
      </c>
      <c r="BF13" s="3">
        <v>0</v>
      </c>
      <c r="BG13" s="3">
        <v>7.41434797758033E-3</v>
      </c>
      <c r="BH13" s="3">
        <v>7.0196221792441097E-3</v>
      </c>
      <c r="BI13" s="3">
        <v>7.8759988395088291E-3</v>
      </c>
      <c r="BJ13" s="3">
        <v>1.17242499421831E-2</v>
      </c>
      <c r="BK13" s="3">
        <v>-1.18223494742779E-3</v>
      </c>
      <c r="BL13" s="3">
        <v>1.5691728081555401E-3</v>
      </c>
      <c r="BM13" s="3">
        <v>1.05420149947553E-2</v>
      </c>
      <c r="BN13" s="3">
        <v>1.3293422750338599E-2</v>
      </c>
      <c r="BO13" s="3">
        <v>1.18256579385301E-3</v>
      </c>
      <c r="BP13" s="3">
        <v>7.9713035678239698E-4</v>
      </c>
      <c r="BQ13" s="3">
        <v>2.0776709424962601E-3</v>
      </c>
      <c r="BR13" s="3">
        <v>0</v>
      </c>
      <c r="BS13" s="3">
        <v>0</v>
      </c>
      <c r="BT13" s="3">
        <v>0</v>
      </c>
      <c r="BU13" s="3">
        <v>3.12733617074974E-3</v>
      </c>
      <c r="BV13" s="3">
        <v>2.5644156600147898E-3</v>
      </c>
      <c r="BW13" s="3">
        <v>3.6902566814846901E-3</v>
      </c>
      <c r="BX13" s="3">
        <v>4.3099019646027498E-3</v>
      </c>
      <c r="BY13" s="3">
        <v>3.3615460167971799E-3</v>
      </c>
      <c r="BZ13" s="3">
        <v>5.7679276239809502E-3</v>
      </c>
      <c r="CA13">
        <v>9.4901421148781704E-4</v>
      </c>
      <c r="CB13" s="3">
        <v>7.4953142423307803E-4</v>
      </c>
      <c r="CC13">
        <v>0.97363304804450601</v>
      </c>
      <c r="CD13">
        <v>7265</v>
      </c>
      <c r="CE13">
        <v>4.5423262216104602E-3</v>
      </c>
      <c r="CF13" s="19">
        <v>7.2493155373032196E-4</v>
      </c>
      <c r="CG13" s="19">
        <v>1.16627666896077E-3</v>
      </c>
      <c r="CH13" s="14">
        <v>4.6395820024065797</v>
      </c>
      <c r="CI13" s="14">
        <v>3.8792235860972899</v>
      </c>
      <c r="CJ13" s="13">
        <v>6.4053789888626698</v>
      </c>
      <c r="CK13" s="14">
        <v>4.6395820024065797</v>
      </c>
      <c r="CL13" s="14">
        <v>3.8792235860972899</v>
      </c>
      <c r="CM13">
        <v>6.4053789888626698</v>
      </c>
      <c r="CN13">
        <v>18.4891478990412</v>
      </c>
      <c r="CO13">
        <v>17.120368114960499</v>
      </c>
      <c r="CP13">
        <v>19.873209391096601</v>
      </c>
      <c r="CQ13">
        <v>4.7008625548180403</v>
      </c>
      <c r="CR13">
        <v>2.9447912078575098</v>
      </c>
      <c r="CS13">
        <v>6.8126629419481004</v>
      </c>
      <c r="CT13">
        <v>1.1640807845466301</v>
      </c>
      <c r="CU13">
        <v>0.68079135981416306</v>
      </c>
      <c r="CV13">
        <v>2.8266944090629602</v>
      </c>
      <c r="CW13">
        <v>0.74421680665597301</v>
      </c>
      <c r="CX13">
        <v>0.51435543900721603</v>
      </c>
      <c r="CY13">
        <v>1.06479437036281</v>
      </c>
      <c r="CZ13">
        <v>0.424580415629148</v>
      </c>
      <c r="DA13">
        <v>0.24874888303961401</v>
      </c>
      <c r="DB13">
        <v>0.706257255958464</v>
      </c>
      <c r="DC13">
        <v>0</v>
      </c>
      <c r="DD13">
        <v>0</v>
      </c>
      <c r="DE13">
        <v>0</v>
      </c>
      <c r="DF13">
        <v>0.20059552707963099</v>
      </c>
      <c r="DG13">
        <v>0.20059552707963099</v>
      </c>
      <c r="DH13">
        <v>0.79940447292036898</v>
      </c>
      <c r="DI13">
        <v>0.36760606933678203</v>
      </c>
      <c r="DJ13">
        <v>0.100863735917558</v>
      </c>
      <c r="DK13">
        <v>14.626475264043201</v>
      </c>
      <c r="DL13">
        <v>1.1559366890464999</v>
      </c>
      <c r="DM13">
        <v>0.27153830172499499</v>
      </c>
      <c r="DN13">
        <v>9.7082922446813796E-3</v>
      </c>
      <c r="DO13">
        <v>0.9</v>
      </c>
      <c r="DP13">
        <v>17.326203208556102</v>
      </c>
      <c r="DQ13">
        <v>0.13383551654810499</v>
      </c>
      <c r="DR13">
        <v>-0.100837903095922</v>
      </c>
      <c r="DS13">
        <v>0</v>
      </c>
      <c r="DT13">
        <v>0</v>
      </c>
      <c r="DX13" s="5">
        <v>5.4000000000000003E-3</v>
      </c>
      <c r="DY13" s="5">
        <v>6.1999999999999998E-3</v>
      </c>
      <c r="DZ13" s="5">
        <v>4.7000000000000002E-3</v>
      </c>
    </row>
    <row r="14" spans="1:130" x14ac:dyDescent="0.2">
      <c r="A14" t="s">
        <v>140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1">
        <v>5.6389986512545498</v>
      </c>
      <c r="R14" s="21">
        <v>10.1795699288054</v>
      </c>
      <c r="S14" s="21">
        <v>0</v>
      </c>
      <c r="T14">
        <v>18.142915552524599</v>
      </c>
      <c r="U14" s="13">
        <v>76.348930626616095</v>
      </c>
      <c r="V14" s="6">
        <v>67.057397871602504</v>
      </c>
      <c r="W14" s="6">
        <v>86.328207866123606</v>
      </c>
      <c r="X14" s="8">
        <v>1000</v>
      </c>
      <c r="Y14" s="22">
        <v>5.7544121169968203E-2</v>
      </c>
      <c r="Z14" s="22">
        <v>92.241416200000003</v>
      </c>
      <c r="AA14" s="9">
        <v>105.413193072</v>
      </c>
      <c r="AB14" s="8">
        <v>10242.480039304801</v>
      </c>
      <c r="AC14" s="8">
        <v>16105</v>
      </c>
      <c r="AD14" s="8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12">
        <v>17</v>
      </c>
      <c r="AL14" s="4">
        <v>30.022588910316099</v>
      </c>
      <c r="AM14" s="6" t="s">
        <v>44</v>
      </c>
      <c r="AN14" s="12" t="s">
        <v>43</v>
      </c>
      <c r="AO14" s="13">
        <v>20230328</v>
      </c>
      <c r="AP14" s="13">
        <v>22095</v>
      </c>
      <c r="AQ14">
        <v>1.72603702835716</v>
      </c>
      <c r="AR14">
        <v>0.76115822702748404</v>
      </c>
      <c r="AS14">
        <v>4.3800181245587697E-2</v>
      </c>
      <c r="AT14" s="13">
        <v>1.81970488849813E-3</v>
      </c>
      <c r="AU14" s="2">
        <v>7.2745246068986996E-2</v>
      </c>
      <c r="AV14" s="2">
        <v>0.92725475393101198</v>
      </c>
      <c r="AW14" s="2">
        <v>0</v>
      </c>
      <c r="AX14" s="3">
        <v>1.1598434473100399E-3</v>
      </c>
      <c r="AY14" s="3">
        <v>1.0979095077479301E-3</v>
      </c>
      <c r="AZ14" s="3">
        <v>1.22711477263403E-3</v>
      </c>
      <c r="BA14" s="3">
        <v>3.7570562402069099E-3</v>
      </c>
      <c r="BB14" s="3">
        <v>3.0163864324805798E-3</v>
      </c>
      <c r="BC14" s="3">
        <v>4.5552874494382799E-3</v>
      </c>
      <c r="BD14" s="3">
        <v>0</v>
      </c>
      <c r="BE14" s="3">
        <v>0</v>
      </c>
      <c r="BF14" s="3">
        <v>0</v>
      </c>
      <c r="BG14" s="3">
        <v>4.9168996875169502E-3</v>
      </c>
      <c r="BH14" s="3">
        <v>4.3513129814976197E-3</v>
      </c>
      <c r="BI14" s="3">
        <v>5.5243434924943397E-3</v>
      </c>
      <c r="BJ14" s="3">
        <v>7.45414492716924E-3</v>
      </c>
      <c r="BK14" s="3">
        <v>-9.0715654015024105E-4</v>
      </c>
      <c r="BL14" s="3">
        <v>9.7430282521544797E-4</v>
      </c>
      <c r="BM14" s="3">
        <v>6.5469883870190003E-3</v>
      </c>
      <c r="BN14" s="3">
        <v>8.4284477523846792E-3</v>
      </c>
      <c r="BO14" s="3">
        <v>7.6590514595404702E-4</v>
      </c>
      <c r="BP14" s="3">
        <v>5.5055012356531696E-4</v>
      </c>
      <c r="BQ14" s="3">
        <v>9.9385792207960896E-4</v>
      </c>
      <c r="BR14" s="3">
        <v>0</v>
      </c>
      <c r="BS14" s="3">
        <v>0</v>
      </c>
      <c r="BT14" s="3">
        <v>0</v>
      </c>
      <c r="BU14" s="3">
        <v>1.7713400936982401E-3</v>
      </c>
      <c r="BV14" s="3">
        <v>1.4524988768325601E-3</v>
      </c>
      <c r="BW14" s="3">
        <v>2.09018131056393E-3</v>
      </c>
      <c r="BX14" s="3">
        <v>2.5372452396522898E-3</v>
      </c>
      <c r="BY14" s="3">
        <v>2.0030490003978699E-3</v>
      </c>
      <c r="BZ14" s="3">
        <v>3.0840392326435301E-3</v>
      </c>
      <c r="CA14">
        <v>2.89658293731614E-3</v>
      </c>
      <c r="CB14" s="3">
        <v>2.8060647205250099E-3</v>
      </c>
      <c r="CC14">
        <v>0.99311755786670697</v>
      </c>
      <c r="CD14">
        <v>12801</v>
      </c>
      <c r="CE14">
        <v>3.3591125693305198E-3</v>
      </c>
      <c r="CF14" s="19">
        <v>1.83185346165787E-3</v>
      </c>
      <c r="CG14" s="19">
        <v>2.3046636981485799E-3</v>
      </c>
      <c r="CH14" s="14">
        <v>46.326341716300099</v>
      </c>
      <c r="CI14" s="14">
        <v>44.120572198119397</v>
      </c>
      <c r="CJ14" s="13">
        <v>48.661143475670201</v>
      </c>
      <c r="CK14" s="14">
        <v>46.326341716300099</v>
      </c>
      <c r="CL14" s="14">
        <v>44.120572198119397</v>
      </c>
      <c r="CM14">
        <v>48.661143475670201</v>
      </c>
      <c r="CN14">
        <v>30.022588910316099</v>
      </c>
      <c r="CO14">
        <v>26.274017955089899</v>
      </c>
      <c r="CP14">
        <v>33.812770914592598</v>
      </c>
      <c r="CQ14">
        <v>46.304759994972798</v>
      </c>
      <c r="CR14">
        <v>38.648638653753899</v>
      </c>
      <c r="CS14">
        <v>54.503800541304201</v>
      </c>
      <c r="CT14">
        <v>1.3835087284260901</v>
      </c>
      <c r="CU14">
        <v>0.55639226060171398</v>
      </c>
      <c r="CV14">
        <v>2.3588596584902</v>
      </c>
      <c r="CW14">
        <v>6.3610066248334602</v>
      </c>
      <c r="CX14">
        <v>4.3455190733014897</v>
      </c>
      <c r="CY14">
        <v>8.5359151064241701</v>
      </c>
      <c r="CZ14">
        <v>0.10025281617560999</v>
      </c>
      <c r="DA14">
        <v>2.3944560360870299E-2</v>
      </c>
      <c r="DB14">
        <v>0.38702771987669599</v>
      </c>
      <c r="DC14">
        <v>0</v>
      </c>
      <c r="DD14">
        <v>0</v>
      </c>
      <c r="DE14">
        <v>0</v>
      </c>
      <c r="DF14">
        <v>0.60676837810592599</v>
      </c>
      <c r="DG14">
        <v>0.60676837810592599</v>
      </c>
      <c r="DH14">
        <v>0.39323162189407401</v>
      </c>
      <c r="DI14">
        <v>0.34038116563588799</v>
      </c>
      <c r="DJ14">
        <v>0.102747957711063</v>
      </c>
      <c r="DK14">
        <v>50.361246904656397</v>
      </c>
      <c r="DL14">
        <v>4.21013917164922</v>
      </c>
      <c r="DM14">
        <v>0.80013124281734305</v>
      </c>
      <c r="DN14">
        <v>5.4988291489690196E-3</v>
      </c>
      <c r="DO14">
        <v>0.9</v>
      </c>
      <c r="DP14">
        <v>17.326203208556102</v>
      </c>
      <c r="DQ14">
        <v>0.13069940135414801</v>
      </c>
      <c r="DR14">
        <v>-0.12170612259475699</v>
      </c>
      <c r="DS14">
        <v>0</v>
      </c>
      <c r="DT14">
        <v>0</v>
      </c>
      <c r="DX14" s="5">
        <v>3.0999999999999999E-3</v>
      </c>
      <c r="DY14" s="5">
        <v>3.5000000000000001E-3</v>
      </c>
      <c r="DZ14" s="5">
        <v>2.5999999999999999E-3</v>
      </c>
    </row>
    <row r="15" spans="1:130" x14ac:dyDescent="0.2">
      <c r="A15" t="s">
        <v>128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1">
        <v>1.7530518030926201</v>
      </c>
      <c r="R15" s="21">
        <v>3.22327823336783</v>
      </c>
      <c r="S15" s="21">
        <v>0</v>
      </c>
      <c r="T15">
        <v>1.3191311322984201</v>
      </c>
      <c r="U15" s="13">
        <v>20.1056686911387</v>
      </c>
      <c r="V15" s="6">
        <v>18.449823513490401</v>
      </c>
      <c r="W15" s="6">
        <v>21.724096450789499</v>
      </c>
      <c r="X15" s="8">
        <v>1000</v>
      </c>
      <c r="Y15" s="22">
        <v>7.0991530548878606E-2</v>
      </c>
      <c r="Z15" s="22">
        <v>8.3545392399999994</v>
      </c>
      <c r="AA15" s="9">
        <v>52.98</v>
      </c>
      <c r="AB15" s="8">
        <v>350.73926764171102</v>
      </c>
      <c r="AC15" s="8">
        <v>9185</v>
      </c>
      <c r="AD15" s="8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0</v>
      </c>
      <c r="AK15" s="12">
        <v>0</v>
      </c>
      <c r="AL15" s="4">
        <v>11.865238274797999</v>
      </c>
      <c r="AM15" s="6" t="s">
        <v>44</v>
      </c>
      <c r="AN15" s="12" t="s">
        <v>43</v>
      </c>
      <c r="AO15" s="13">
        <v>20230328</v>
      </c>
      <c r="AP15" s="13">
        <v>18912</v>
      </c>
      <c r="AQ15">
        <v>3.5211320052131798</v>
      </c>
      <c r="AR15">
        <v>0.53291610689503099</v>
      </c>
      <c r="AS15">
        <v>3.7832530082627998E-2</v>
      </c>
      <c r="AT15" s="13">
        <v>2.2449493111588001E-3</v>
      </c>
      <c r="AU15" s="2">
        <v>0.70703015530966096</v>
      </c>
      <c r="AV15" s="2">
        <v>0.29296984469033899</v>
      </c>
      <c r="AW15" s="2">
        <v>0</v>
      </c>
      <c r="AX15" s="3">
        <v>3.0068224791051E-2</v>
      </c>
      <c r="AY15" s="3">
        <v>2.8674537875105901E-2</v>
      </c>
      <c r="AZ15" s="3">
        <v>3.1510386461000302E-2</v>
      </c>
      <c r="BA15" s="3">
        <v>1.6743583882244801E-2</v>
      </c>
      <c r="BB15" s="3">
        <v>1.0670732277595201E-2</v>
      </c>
      <c r="BC15" s="3">
        <v>2.2959633403480499E-2</v>
      </c>
      <c r="BD15" s="3">
        <v>0</v>
      </c>
      <c r="BE15" s="3">
        <v>0</v>
      </c>
      <c r="BF15" s="3">
        <v>0</v>
      </c>
      <c r="BG15" s="3">
        <v>4.6811808673295797E-2</v>
      </c>
      <c r="BH15" s="3">
        <v>4.35497666834797E-2</v>
      </c>
      <c r="BI15" s="3">
        <v>5.0134986701796502E-2</v>
      </c>
      <c r="BJ15" s="3">
        <v>5.7323688979350702E-2</v>
      </c>
      <c r="BK15" s="3">
        <v>-4.7210145267788904E-3</v>
      </c>
      <c r="BL15" s="3">
        <v>4.61433295032165E-3</v>
      </c>
      <c r="BM15" s="3">
        <v>5.2602674452571802E-2</v>
      </c>
      <c r="BN15" s="3">
        <v>6.1938021929672397E-2</v>
      </c>
      <c r="BO15" s="3">
        <v>6.7508781771289297E-3</v>
      </c>
      <c r="BP15" s="3">
        <v>4.9981623525638501E-3</v>
      </c>
      <c r="BQ15" s="3">
        <v>9.1899554191362601E-3</v>
      </c>
      <c r="BR15" s="3">
        <v>0</v>
      </c>
      <c r="BS15" s="3">
        <v>0</v>
      </c>
      <c r="BT15" s="3">
        <v>0</v>
      </c>
      <c r="BU15" s="3">
        <v>3.7610021289259899E-3</v>
      </c>
      <c r="BV15" s="3">
        <v>3.0840217457193098E-3</v>
      </c>
      <c r="BW15" s="3">
        <v>4.4379825121326696E-3</v>
      </c>
      <c r="BX15" s="3">
        <v>1.05118803060549E-2</v>
      </c>
      <c r="BY15" s="3">
        <v>8.0821840982831707E-3</v>
      </c>
      <c r="BZ15" s="3">
        <v>1.36279379312689E-2</v>
      </c>
      <c r="CA15">
        <v>2.9610829103214899E-3</v>
      </c>
      <c r="CB15" s="3">
        <v>2.1748096446700502E-3</v>
      </c>
      <c r="CC15">
        <v>0.94815360360086098</v>
      </c>
      <c r="CD15">
        <v>5371</v>
      </c>
      <c r="CE15">
        <v>7.8197728542170903E-3</v>
      </c>
      <c r="CF15" s="19">
        <v>2.7114861186717499E-3</v>
      </c>
      <c r="CG15" s="19">
        <v>4.6369391174827801E-3</v>
      </c>
      <c r="CH15" s="14">
        <v>8.2404304163407094</v>
      </c>
      <c r="CI15" s="14">
        <v>7.6256841516487102</v>
      </c>
      <c r="CJ15" s="13">
        <v>9.0959105819239205</v>
      </c>
      <c r="CK15" s="14">
        <v>8.2404304163407094</v>
      </c>
      <c r="CL15" s="14">
        <v>7.6256841516487102</v>
      </c>
      <c r="CM15">
        <v>9.0959105819239205</v>
      </c>
      <c r="CN15">
        <v>11.865238274797999</v>
      </c>
      <c r="CO15">
        <v>11.367294231531501</v>
      </c>
      <c r="CP15">
        <v>12.372242957564</v>
      </c>
      <c r="CQ15">
        <v>8.3755420939949605</v>
      </c>
      <c r="CR15">
        <v>6.2608101002343997</v>
      </c>
      <c r="CS15">
        <v>10.581535853186301</v>
      </c>
      <c r="CT15">
        <v>1.80911898517697</v>
      </c>
      <c r="CU15">
        <v>1.32909735949551</v>
      </c>
      <c r="CV15">
        <v>2.4350056105922699</v>
      </c>
      <c r="CW15">
        <v>0.26537029722639499</v>
      </c>
      <c r="CX15">
        <v>0.17108014506250299</v>
      </c>
      <c r="CY15">
        <v>0.41351091025757802</v>
      </c>
      <c r="CZ15">
        <v>0.29330878538124999</v>
      </c>
      <c r="DA15">
        <v>0.13699980935776401</v>
      </c>
      <c r="DB15">
        <v>0.87323478725846704</v>
      </c>
      <c r="DC15">
        <v>0</v>
      </c>
      <c r="DD15">
        <v>0</v>
      </c>
      <c r="DE15">
        <v>0</v>
      </c>
      <c r="DF15">
        <v>0.40985300291787102</v>
      </c>
      <c r="DG15">
        <v>0.40985300291787102</v>
      </c>
      <c r="DH15">
        <v>0.59014699708212903</v>
      </c>
      <c r="DI15">
        <v>0.183376485629243</v>
      </c>
      <c r="DJ15">
        <v>0.117766025988168</v>
      </c>
      <c r="DK15">
        <v>16.4187394910557</v>
      </c>
      <c r="DL15">
        <v>1.47613858661206</v>
      </c>
      <c r="DM15">
        <v>6.5302414381253296E-2</v>
      </c>
      <c r="DN15">
        <v>2.4005541504687099E-2</v>
      </c>
      <c r="DO15">
        <v>0.9</v>
      </c>
      <c r="DP15">
        <v>17.326203208556102</v>
      </c>
      <c r="DQ15">
        <v>8.0505149786191194E-2</v>
      </c>
      <c r="DR15">
        <v>-8.23705859054807E-2</v>
      </c>
      <c r="DS15">
        <v>0</v>
      </c>
      <c r="DT15">
        <v>0</v>
      </c>
      <c r="DX15" s="5">
        <v>1.89E-2</v>
      </c>
      <c r="DY15" s="5">
        <v>1.9800000000000002E-2</v>
      </c>
      <c r="DZ15" s="5">
        <v>1.7899999999999999E-2</v>
      </c>
    </row>
    <row r="16" spans="1:130" x14ac:dyDescent="0.2">
      <c r="A16" t="s">
        <v>141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1">
        <v>2.11095386040836</v>
      </c>
      <c r="R16" s="21">
        <v>3.0565756389261298</v>
      </c>
      <c r="S16" s="21">
        <v>1.60727078702999</v>
      </c>
      <c r="T16">
        <v>2.18648804612952</v>
      </c>
      <c r="U16" s="13">
        <v>25.7396740648446</v>
      </c>
      <c r="V16" s="6">
        <v>23.080581203013502</v>
      </c>
      <c r="W16" s="6">
        <v>28.6454756024483</v>
      </c>
      <c r="X16" s="8">
        <v>1000</v>
      </c>
      <c r="Y16" s="22">
        <v>6.5015162364104803E-2</v>
      </c>
      <c r="Z16" s="22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12">
        <v>23</v>
      </c>
      <c r="AL16" s="4">
        <v>5.6881835011469004</v>
      </c>
      <c r="AM16" s="6" t="s">
        <v>44</v>
      </c>
      <c r="AN16" s="12" t="s">
        <v>43</v>
      </c>
      <c r="AO16" s="13">
        <v>20230328</v>
      </c>
      <c r="AP16" s="13">
        <v>8001</v>
      </c>
      <c r="AQ16">
        <v>1.7370820668692999</v>
      </c>
      <c r="AR16">
        <v>0.75873449917936997</v>
      </c>
      <c r="AS16">
        <v>4.9329246655394503E-2</v>
      </c>
      <c r="AT16" s="13">
        <v>2.05595995516229E-3</v>
      </c>
      <c r="AU16" s="2">
        <v>0.15345486245741899</v>
      </c>
      <c r="AV16" s="2">
        <v>0.83086326360287499</v>
      </c>
      <c r="AW16" s="2">
        <v>1.5681873939706201E-2</v>
      </c>
      <c r="AX16" s="3">
        <v>5.5000393441260202E-3</v>
      </c>
      <c r="AY16" s="3">
        <v>5.0480760662767604E-3</v>
      </c>
      <c r="AZ16" s="3">
        <v>5.99917799638217E-3</v>
      </c>
      <c r="BA16" s="3">
        <v>2.3778139578940701E-2</v>
      </c>
      <c r="BB16" s="3">
        <v>1.9413075915289599E-2</v>
      </c>
      <c r="BC16" s="3">
        <v>2.88341400998838E-2</v>
      </c>
      <c r="BD16" s="3">
        <v>1.1821762949466501E-3</v>
      </c>
      <c r="BE16" s="3">
        <v>7.0783542366829497E-4</v>
      </c>
      <c r="BF16" s="3">
        <v>1.8540895439046301E-3</v>
      </c>
      <c r="BG16" s="3">
        <v>3.04603552180134E-2</v>
      </c>
      <c r="BH16" s="3">
        <v>2.7045139739308902E-2</v>
      </c>
      <c r="BI16" s="3">
        <v>3.4320719222374001E-2</v>
      </c>
      <c r="BJ16" s="3">
        <v>4.0428764260118301E-2</v>
      </c>
      <c r="BK16" s="3">
        <v>-4.17658118692183E-3</v>
      </c>
      <c r="BL16" s="3">
        <v>4.5640813109954796E-3</v>
      </c>
      <c r="BM16" s="3">
        <v>3.6252183073196498E-2</v>
      </c>
      <c r="BN16" s="3">
        <v>4.4992845571113799E-2</v>
      </c>
      <c r="BO16" s="3">
        <v>4.0096318975632803E-3</v>
      </c>
      <c r="BP16" s="3">
        <v>3.3156307951466599E-3</v>
      </c>
      <c r="BQ16" s="3">
        <v>4.8008990183035297E-3</v>
      </c>
      <c r="BR16" s="3">
        <v>2.5245063937993101E-3</v>
      </c>
      <c r="BS16" s="3">
        <v>1.9803151454257499E-3</v>
      </c>
      <c r="BT16" s="3">
        <v>3.1013626631101999E-3</v>
      </c>
      <c r="BU16" s="3">
        <v>3.4342707507423499E-3</v>
      </c>
      <c r="BV16" s="3">
        <v>2.81610201560873E-3</v>
      </c>
      <c r="BW16" s="3">
        <v>4.0524394858759798E-3</v>
      </c>
      <c r="BX16" s="3">
        <v>9.9684090421049403E-3</v>
      </c>
      <c r="BY16" s="3">
        <v>8.3660290620039893E-3</v>
      </c>
      <c r="BZ16" s="3">
        <v>1.1602155046233799E-2</v>
      </c>
      <c r="CA16">
        <v>9.9987501562304702E-3</v>
      </c>
      <c r="CB16" s="3">
        <v>9.9987501562304702E-3</v>
      </c>
      <c r="CC16">
        <v>0.98912831831901504</v>
      </c>
      <c r="CD16">
        <v>4606</v>
      </c>
      <c r="CE16">
        <v>1.0638297872340399E-2</v>
      </c>
      <c r="CF16" s="19">
        <v>5.3526893229863502E-3</v>
      </c>
      <c r="CG16" s="19">
        <v>8.6856274424663496E-3</v>
      </c>
      <c r="CH16" s="14">
        <v>17.691566731837199</v>
      </c>
      <c r="CI16" s="14">
        <v>17.249718891474998</v>
      </c>
      <c r="CJ16" s="13">
        <v>18.195340669992699</v>
      </c>
      <c r="CK16" s="14">
        <v>19.298837518867199</v>
      </c>
      <c r="CL16" s="14">
        <v>18.510520880399898</v>
      </c>
      <c r="CM16">
        <v>20.1698770073322</v>
      </c>
      <c r="CN16">
        <v>5.6881835011469004</v>
      </c>
      <c r="CO16">
        <v>5.0762896027995899</v>
      </c>
      <c r="CP16">
        <v>6.3228660056894199</v>
      </c>
      <c r="CQ16">
        <v>17.721560360989098</v>
      </c>
      <c r="CR16">
        <v>14.944751470685301</v>
      </c>
      <c r="CS16">
        <v>20.940210174018699</v>
      </c>
      <c r="CT16">
        <v>1.01661290435902</v>
      </c>
      <c r="CU16">
        <v>0.81235059485252403</v>
      </c>
      <c r="CV16">
        <v>1.2215895540958099</v>
      </c>
      <c r="CW16">
        <v>0.94529093042068701</v>
      </c>
      <c r="CX16">
        <v>0.63345602365049802</v>
      </c>
      <c r="CY16">
        <v>1.32335300603257</v>
      </c>
      <c r="CZ16">
        <v>0.59089786599087002</v>
      </c>
      <c r="DA16">
        <v>0.34228086684702302</v>
      </c>
      <c r="DB16">
        <v>0.83922829138353405</v>
      </c>
      <c r="DC16" t="s">
        <v>83</v>
      </c>
      <c r="DD16" t="s">
        <v>83</v>
      </c>
      <c r="DE16" t="s">
        <v>83</v>
      </c>
      <c r="DF16">
        <v>0.68732508122431202</v>
      </c>
      <c r="DG16">
        <v>0.74976836384785295</v>
      </c>
      <c r="DH16">
        <v>0.22099087722442001</v>
      </c>
      <c r="DI16">
        <v>0.246568577028142</v>
      </c>
      <c r="DJ16">
        <v>9.9178230783970395E-2</v>
      </c>
      <c r="DK16">
        <v>19.393113530914501</v>
      </c>
      <c r="DL16">
        <v>5.47819520274615</v>
      </c>
      <c r="DM16">
        <v>0.13822565057028599</v>
      </c>
      <c r="DN16">
        <v>1.06611193281389E-2</v>
      </c>
      <c r="DO16">
        <v>0.9</v>
      </c>
      <c r="DP16">
        <v>17.326203208556102</v>
      </c>
      <c r="DQ16">
        <v>0.112881334082973</v>
      </c>
      <c r="DR16">
        <v>-0.103296952562212</v>
      </c>
      <c r="DS16">
        <v>2.9240758927726599E-2</v>
      </c>
      <c r="DT16">
        <v>6.0078049808227403E-2</v>
      </c>
      <c r="DX16" s="5">
        <v>6.0000000000000001E-3</v>
      </c>
      <c r="DY16" s="5">
        <v>6.7999999999999996E-3</v>
      </c>
      <c r="DZ16" s="5">
        <v>5.1000000000000004E-3</v>
      </c>
    </row>
    <row r="17" spans="1:130" x14ac:dyDescent="0.2">
      <c r="A17" t="s">
        <v>142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1">
        <v>68.822649560880294</v>
      </c>
      <c r="R17" s="21">
        <v>83.688108573465499</v>
      </c>
      <c r="S17" s="21">
        <v>0</v>
      </c>
      <c r="T17">
        <v>17.294910308613101</v>
      </c>
      <c r="U17" s="13">
        <v>219.29484037715901</v>
      </c>
      <c r="V17" s="6">
        <v>207.368293775186</v>
      </c>
      <c r="W17" s="6">
        <v>232.048075968826</v>
      </c>
      <c r="X17" s="8">
        <v>1000</v>
      </c>
      <c r="Y17" s="22">
        <v>6.6200512871116196E-2</v>
      </c>
      <c r="Z17" s="22">
        <v>16.353133799999998</v>
      </c>
      <c r="AA17" s="9">
        <v>58.47</v>
      </c>
      <c r="AB17" s="8">
        <v>4755.8021327807501</v>
      </c>
      <c r="AC17" s="8">
        <v>17164</v>
      </c>
      <c r="AD17" s="8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12">
        <v>278</v>
      </c>
      <c r="AL17" s="4">
        <v>39.443612005149397</v>
      </c>
      <c r="AM17" s="6" t="s">
        <v>44</v>
      </c>
      <c r="AN17" s="12" t="s">
        <v>43</v>
      </c>
      <c r="AO17" s="13">
        <v>20230328</v>
      </c>
      <c r="AP17" s="13">
        <v>83641</v>
      </c>
      <c r="AQ17">
        <v>8.8941939600170201</v>
      </c>
      <c r="AR17">
        <v>0.33531015156350102</v>
      </c>
      <c r="AS17">
        <v>2.21977040043955E-2</v>
      </c>
      <c r="AT17" s="13">
        <v>2.0934440294402001E-3</v>
      </c>
      <c r="AU17" s="2">
        <v>0.34217279368193898</v>
      </c>
      <c r="AV17" s="2">
        <v>0.65782720631806102</v>
      </c>
      <c r="AW17" s="2">
        <v>0</v>
      </c>
      <c r="AX17" s="3">
        <v>4.6571957953990299E-3</v>
      </c>
      <c r="AY17" s="3">
        <v>4.3978385359294903E-3</v>
      </c>
      <c r="AZ17" s="3">
        <v>4.9687511369519398E-3</v>
      </c>
      <c r="BA17" s="3">
        <v>2.1944837274918302E-2</v>
      </c>
      <c r="BB17" s="3">
        <v>1.8861236998581499E-2</v>
      </c>
      <c r="BC17" s="3">
        <v>2.5503598067928099E-2</v>
      </c>
      <c r="BD17" s="3">
        <v>0</v>
      </c>
      <c r="BE17" s="3">
        <v>0</v>
      </c>
      <c r="BF17" s="3">
        <v>0</v>
      </c>
      <c r="BG17" s="3">
        <v>2.6602033070317301E-2</v>
      </c>
      <c r="BH17" s="3">
        <v>2.5561228340859499E-2</v>
      </c>
      <c r="BI17" s="3">
        <v>2.7809860561487501E-2</v>
      </c>
      <c r="BJ17" s="3">
        <v>4.6111010141823498E-2</v>
      </c>
      <c r="BK17" s="3">
        <v>-2.5077886482630001E-3</v>
      </c>
      <c r="BL17" s="3">
        <v>2.6816161050439101E-3</v>
      </c>
      <c r="BM17" s="3">
        <v>4.3603221493560503E-2</v>
      </c>
      <c r="BN17" s="3">
        <v>4.87926262468674E-2</v>
      </c>
      <c r="BO17" s="3">
        <v>1.5872385424977601E-2</v>
      </c>
      <c r="BP17" s="3">
        <v>1.44713021356587E-2</v>
      </c>
      <c r="BQ17" s="3">
        <v>1.7597054342656699E-2</v>
      </c>
      <c r="BR17" s="3">
        <v>0</v>
      </c>
      <c r="BS17" s="3">
        <v>0</v>
      </c>
      <c r="BT17" s="3">
        <v>0</v>
      </c>
      <c r="BU17" s="3">
        <v>3.6365916465285501E-3</v>
      </c>
      <c r="BV17" s="3">
        <v>2.9820051501534099E-3</v>
      </c>
      <c r="BW17" s="3">
        <v>4.2911781429036903E-3</v>
      </c>
      <c r="BX17" s="3">
        <v>1.95089770715061E-2</v>
      </c>
      <c r="BY17" s="3">
        <v>1.7453307285812101E-2</v>
      </c>
      <c r="BZ17" s="3">
        <v>2.1888232485560401E-2</v>
      </c>
      <c r="CA17">
        <v>1.2577563635059401E-2</v>
      </c>
      <c r="CB17" s="3">
        <v>1.1932018985904E-2</v>
      </c>
      <c r="CC17">
        <v>0.77723966828982005</v>
      </c>
      <c r="CD17">
        <v>9404</v>
      </c>
      <c r="CE17">
        <v>5.7422373458102902E-2</v>
      </c>
      <c r="CF17" s="19">
        <v>9.7257632253553994E-3</v>
      </c>
      <c r="CG17" s="19">
        <v>1.77512760527435E-2</v>
      </c>
      <c r="CH17" s="14">
        <v>179.85122837200899</v>
      </c>
      <c r="CI17" s="14">
        <v>173.18795347646301</v>
      </c>
      <c r="CJ17" s="13">
        <v>188.05341248904799</v>
      </c>
      <c r="CK17" s="14">
        <v>179.85122837200899</v>
      </c>
      <c r="CL17" s="14">
        <v>173.18795347646301</v>
      </c>
      <c r="CM17">
        <v>188.05341248904799</v>
      </c>
      <c r="CN17">
        <v>39.443612005149397</v>
      </c>
      <c r="CO17">
        <v>35.9169392370003</v>
      </c>
      <c r="CP17">
        <v>43.053523422768897</v>
      </c>
      <c r="CQ17">
        <v>179.92729458038201</v>
      </c>
      <c r="CR17">
        <v>165.25980352672701</v>
      </c>
      <c r="CS17">
        <v>196.875864489495</v>
      </c>
      <c r="CT17">
        <v>22.333899209629202</v>
      </c>
      <c r="CU17">
        <v>20.041045227841799</v>
      </c>
      <c r="CV17">
        <v>24.937251162659699</v>
      </c>
      <c r="CW17">
        <v>34.9227409174785</v>
      </c>
      <c r="CX17">
        <v>31.384509532087002</v>
      </c>
      <c r="CY17">
        <v>39.550834216172497</v>
      </c>
      <c r="CZ17">
        <v>18.229284329318698</v>
      </c>
      <c r="DA17">
        <v>13.5693122674984</v>
      </c>
      <c r="DB17">
        <v>24.782487927849701</v>
      </c>
      <c r="DC17">
        <v>0</v>
      </c>
      <c r="DD17">
        <v>0</v>
      </c>
      <c r="DE17">
        <v>0</v>
      </c>
      <c r="DF17">
        <v>0.82013381660879703</v>
      </c>
      <c r="DG17">
        <v>0.82013381660879703</v>
      </c>
      <c r="DH17">
        <v>0.179866183391203</v>
      </c>
      <c r="DI17">
        <v>0.42308641733426</v>
      </c>
      <c r="DJ17">
        <v>0.34422003189726602</v>
      </c>
      <c r="DK17">
        <v>126.51400561211901</v>
      </c>
      <c r="DL17">
        <v>4.4396245145234898</v>
      </c>
      <c r="DM17">
        <v>0.50572119659514603</v>
      </c>
      <c r="DN17">
        <v>1.14918517480515E-2</v>
      </c>
      <c r="DO17">
        <v>0.9</v>
      </c>
      <c r="DP17">
        <v>17.326203208556102</v>
      </c>
      <c r="DQ17">
        <v>5.81548512454617E-2</v>
      </c>
      <c r="DR17">
        <v>-5.4391392387237003E-2</v>
      </c>
      <c r="DS17">
        <v>0</v>
      </c>
      <c r="DT17">
        <v>0</v>
      </c>
      <c r="DX17" s="5">
        <v>6.0000000000000001E-3</v>
      </c>
      <c r="DY17" s="5">
        <v>6.7999999999999996E-3</v>
      </c>
      <c r="DZ17" s="5">
        <v>5.1000000000000004E-3</v>
      </c>
    </row>
    <row r="18" spans="1:130" x14ac:dyDescent="0.2">
      <c r="A18" t="s">
        <v>143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1">
        <v>34.109331538220502</v>
      </c>
      <c r="R18" s="21">
        <v>41.354309933394099</v>
      </c>
      <c r="S18" s="21">
        <v>0</v>
      </c>
      <c r="T18">
        <v>13.139792955001001</v>
      </c>
      <c r="U18" s="13">
        <v>121.83874444529199</v>
      </c>
      <c r="V18">
        <v>114.573936285331</v>
      </c>
      <c r="W18" s="6">
        <v>129.61674007174199</v>
      </c>
      <c r="X18" s="8">
        <v>1000</v>
      </c>
      <c r="Y18" s="22">
        <v>7.9024394871581194E-2</v>
      </c>
      <c r="Z18" s="22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12">
        <v>202</v>
      </c>
      <c r="AL18" s="4">
        <v>26.757938660471002</v>
      </c>
      <c r="AM18" s="6" t="s">
        <v>44</v>
      </c>
      <c r="AN18" s="12" t="s">
        <v>43</v>
      </c>
      <c r="AO18" s="13">
        <v>20230328</v>
      </c>
      <c r="AP18" s="13">
        <v>55268</v>
      </c>
      <c r="AQ18">
        <v>12.681964203763201</v>
      </c>
      <c r="AR18">
        <v>0.28080622975595598</v>
      </c>
      <c r="AS18">
        <v>2.2190542382634602E-2</v>
      </c>
      <c r="AT18" s="13">
        <v>2.4989707851072601E-3</v>
      </c>
      <c r="AU18" s="2">
        <v>0.39189646560890301</v>
      </c>
      <c r="AV18" s="2">
        <v>0.60810353439109699</v>
      </c>
      <c r="AW18" s="2">
        <v>0</v>
      </c>
      <c r="AX18" s="3">
        <v>3.7689813746168998E-3</v>
      </c>
      <c r="AY18" s="3">
        <v>3.5228290328222799E-3</v>
      </c>
      <c r="AZ18" s="3">
        <v>4.0530367352119602E-3</v>
      </c>
      <c r="BA18" s="3">
        <v>1.60151857680382E-2</v>
      </c>
      <c r="BB18" s="3">
        <v>1.2706070806962301E-2</v>
      </c>
      <c r="BC18" s="3">
        <v>1.9714298341782299E-2</v>
      </c>
      <c r="BD18" s="3">
        <v>0</v>
      </c>
      <c r="BE18" s="3">
        <v>0</v>
      </c>
      <c r="BF18" s="3">
        <v>0</v>
      </c>
      <c r="BG18" s="3">
        <v>1.9784167142655101E-2</v>
      </c>
      <c r="BH18" s="3">
        <v>1.88610275754598E-2</v>
      </c>
      <c r="BI18" s="3">
        <v>2.08283354638104E-2</v>
      </c>
      <c r="BJ18" s="3">
        <v>3.3720299991838301E-2</v>
      </c>
      <c r="BK18" s="3">
        <v>-2.0106207729926199E-3</v>
      </c>
      <c r="BL18" s="3">
        <v>2.15265141686405E-3</v>
      </c>
      <c r="BM18" s="3">
        <v>3.1709679218845703E-2</v>
      </c>
      <c r="BN18" s="3">
        <v>3.5872951408702398E-2</v>
      </c>
      <c r="BO18" s="3">
        <v>1.0299541202654699E-2</v>
      </c>
      <c r="BP18" s="3">
        <v>9.4401571292153097E-3</v>
      </c>
      <c r="BQ18" s="3">
        <v>1.1445289782476799E-2</v>
      </c>
      <c r="BR18" s="3">
        <v>0</v>
      </c>
      <c r="BS18" s="3">
        <v>0</v>
      </c>
      <c r="BT18" s="3">
        <v>0</v>
      </c>
      <c r="BU18" s="3">
        <v>3.6365916465285501E-3</v>
      </c>
      <c r="BV18" s="3">
        <v>2.9820051501534099E-3</v>
      </c>
      <c r="BW18" s="3">
        <v>4.2911781429036903E-3</v>
      </c>
      <c r="BX18" s="3">
        <v>1.39361328491833E-2</v>
      </c>
      <c r="BY18" s="3">
        <v>1.2422162279368701E-2</v>
      </c>
      <c r="BZ18" s="3">
        <v>1.5736467925380498E-2</v>
      </c>
      <c r="CA18">
        <v>1.6682347832380401E-2</v>
      </c>
      <c r="CB18" s="3">
        <v>1.58346240138959E-2</v>
      </c>
      <c r="CC18">
        <v>0.729793735855779</v>
      </c>
      <c r="CD18">
        <v>4358</v>
      </c>
      <c r="CE18">
        <v>0.102569986232217</v>
      </c>
      <c r="CF18" s="19">
        <v>1.4815713387806399E-2</v>
      </c>
      <c r="CG18" s="19">
        <v>2.7044286369894501E-2</v>
      </c>
      <c r="CH18" s="14">
        <v>95.080805784821294</v>
      </c>
      <c r="CI18" s="14">
        <v>91.975665067523906</v>
      </c>
      <c r="CJ18" s="13">
        <v>99.220643462697396</v>
      </c>
      <c r="CK18" s="14">
        <v>95.080805784821294</v>
      </c>
      <c r="CL18" s="14">
        <v>91.975665067523906</v>
      </c>
      <c r="CM18">
        <v>99.220643462697396</v>
      </c>
      <c r="CN18">
        <v>26.757938660471002</v>
      </c>
      <c r="CO18">
        <v>24.1430263893788</v>
      </c>
      <c r="CP18">
        <v>29.411307853851199</v>
      </c>
      <c r="CQ18">
        <v>95.140759082988794</v>
      </c>
      <c r="CR18">
        <v>83.076043013799705</v>
      </c>
      <c r="CS18">
        <v>108.508937877002</v>
      </c>
      <c r="CT18">
        <v>9.5444229627551103</v>
      </c>
      <c r="CU18">
        <v>8.0163724103541796</v>
      </c>
      <c r="CV18">
        <v>11.521330978130001</v>
      </c>
      <c r="CW18">
        <v>24.126112922268799</v>
      </c>
      <c r="CX18">
        <v>22.065040468586201</v>
      </c>
      <c r="CY18">
        <v>26.9158829009966</v>
      </c>
      <c r="CZ18">
        <v>3.5439363704939399</v>
      </c>
      <c r="DA18">
        <v>2.6744616503133698</v>
      </c>
      <c r="DB18">
        <v>6.8036968307183701</v>
      </c>
      <c r="DC18">
        <v>0</v>
      </c>
      <c r="DD18">
        <v>0</v>
      </c>
      <c r="DE18">
        <v>0</v>
      </c>
      <c r="DF18">
        <v>0.780381879027646</v>
      </c>
      <c r="DG18">
        <v>0.780381879027646</v>
      </c>
      <c r="DH18">
        <v>0.219618120972354</v>
      </c>
      <c r="DI18">
        <v>0.41328554621813801</v>
      </c>
      <c r="DJ18">
        <v>0.30543943098005899</v>
      </c>
      <c r="DK18">
        <v>71.484479234773403</v>
      </c>
      <c r="DL18">
        <v>3.8309005754997201</v>
      </c>
      <c r="DM18">
        <v>0.82909970258152099</v>
      </c>
      <c r="DN18">
        <v>1.14918517480515E-2</v>
      </c>
      <c r="DO18">
        <v>0.9</v>
      </c>
      <c r="DP18">
        <v>17.326203208556102</v>
      </c>
      <c r="DQ18">
        <v>6.3840824385552303E-2</v>
      </c>
      <c r="DR18">
        <v>-5.9625542649812902E-2</v>
      </c>
      <c r="DS18">
        <v>0</v>
      </c>
      <c r="DT18">
        <v>0</v>
      </c>
      <c r="DX18" s="5">
        <v>6.0000000000000001E-3</v>
      </c>
      <c r="DY18" s="5">
        <v>6.7999999999999996E-3</v>
      </c>
      <c r="DZ18" s="5">
        <v>5.1000000000000004E-3</v>
      </c>
    </row>
    <row r="19" spans="1:130" x14ac:dyDescent="0.2">
      <c r="A19" t="s">
        <v>144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1">
        <v>31.7879101674555</v>
      </c>
      <c r="R19" s="21">
        <v>47.375104209620503</v>
      </c>
      <c r="S19" s="21">
        <v>0</v>
      </c>
      <c r="T19">
        <v>4.1551173562375103</v>
      </c>
      <c r="U19" s="13">
        <v>97.739533626924199</v>
      </c>
      <c r="V19">
        <v>89.163126308226296</v>
      </c>
      <c r="W19" s="6">
        <v>107.897000710512</v>
      </c>
      <c r="X19" s="8">
        <v>1000</v>
      </c>
      <c r="Y19" s="22">
        <v>0.112914443367717</v>
      </c>
      <c r="Z19" s="22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12">
        <v>76</v>
      </c>
      <c r="AL19" s="4">
        <v>13.0990743387583</v>
      </c>
      <c r="AM19" s="6" t="s">
        <v>44</v>
      </c>
      <c r="AN19" s="12" t="s">
        <v>43</v>
      </c>
      <c r="AO19" s="13">
        <v>20230328</v>
      </c>
      <c r="AP19" s="13">
        <v>28373</v>
      </c>
      <c r="AQ19">
        <v>5.6239841427155604</v>
      </c>
      <c r="AR19">
        <v>0.42167509967254901</v>
      </c>
      <c r="AS19">
        <v>4.7613209161552497E-2</v>
      </c>
      <c r="AT19" s="13">
        <v>3.5706682177207901E-3</v>
      </c>
      <c r="AU19" s="2">
        <v>0.240253601079637</v>
      </c>
      <c r="AV19" s="2">
        <v>0.759746398920362</v>
      </c>
      <c r="AW19" s="2">
        <v>0</v>
      </c>
      <c r="AX19" s="3">
        <v>7.8278220471245906E-3</v>
      </c>
      <c r="AY19" s="3">
        <v>7.07496453182714E-3</v>
      </c>
      <c r="AZ19" s="3">
        <v>8.6882296056066694E-3</v>
      </c>
      <c r="BA19" s="3">
        <v>4.0539855096474599E-2</v>
      </c>
      <c r="BB19" s="3">
        <v>3.3337129710198997E-2</v>
      </c>
      <c r="BC19" s="3">
        <v>4.8399392802523401E-2</v>
      </c>
      <c r="BD19" s="3">
        <v>0</v>
      </c>
      <c r="BE19" s="3">
        <v>0</v>
      </c>
      <c r="BF19" s="3">
        <v>0</v>
      </c>
      <c r="BG19" s="3">
        <v>4.83676771435992E-2</v>
      </c>
      <c r="BH19" s="3">
        <v>4.5294486905580703E-2</v>
      </c>
      <c r="BI19" s="3">
        <v>5.1690068103473999E-2</v>
      </c>
      <c r="BJ19" s="3">
        <v>8.5542414581792195E-2</v>
      </c>
      <c r="BK19" s="3">
        <v>-7.5061396678925496E-3</v>
      </c>
      <c r="BL19" s="3">
        <v>8.8898957067035499E-3</v>
      </c>
      <c r="BM19" s="3">
        <v>7.8036274913899598E-2</v>
      </c>
      <c r="BN19" s="3">
        <v>9.4432310288495705E-2</v>
      </c>
      <c r="BO19" s="3">
        <v>3.3538145791664399E-2</v>
      </c>
      <c r="BP19" s="3">
        <v>2.78210309516372E-2</v>
      </c>
      <c r="BQ19" s="3">
        <v>4.14630667322788E-2</v>
      </c>
      <c r="BR19" s="3">
        <v>0</v>
      </c>
      <c r="BS19" s="3">
        <v>0</v>
      </c>
      <c r="BT19" s="3">
        <v>0</v>
      </c>
      <c r="BU19" s="3">
        <v>3.6365916465285501E-3</v>
      </c>
      <c r="BV19" s="3">
        <v>2.9820051501534099E-3</v>
      </c>
      <c r="BW19" s="3">
        <v>4.2911781429036903E-3</v>
      </c>
      <c r="BX19" s="3">
        <v>3.7174737438192898E-2</v>
      </c>
      <c r="BY19" s="3">
        <v>3.0803036101790599E-2</v>
      </c>
      <c r="BZ19" s="3">
        <v>4.5754244875182502E-2</v>
      </c>
      <c r="CA19">
        <v>4.5818207450745397E-3</v>
      </c>
      <c r="CB19" s="3">
        <v>4.3831459486131201E-3</v>
      </c>
      <c r="CC19">
        <v>0.92333209279367601</v>
      </c>
      <c r="CD19">
        <v>5045</v>
      </c>
      <c r="CE19">
        <v>1.8434093161546102E-2</v>
      </c>
      <c r="CF19" s="19">
        <v>5.32631121728744E-3</v>
      </c>
      <c r="CG19" s="19">
        <v>9.7224975222993098E-3</v>
      </c>
      <c r="CH19" s="14">
        <v>84.6404592881658</v>
      </c>
      <c r="CI19" s="14">
        <v>78.108166028878301</v>
      </c>
      <c r="CJ19" s="13">
        <v>93.695360071043297</v>
      </c>
      <c r="CK19" s="14">
        <v>84.6404592881658</v>
      </c>
      <c r="CL19" s="14">
        <v>78.108166028878301</v>
      </c>
      <c r="CM19">
        <v>93.695360071043297</v>
      </c>
      <c r="CN19">
        <v>13.0990743387583</v>
      </c>
      <c r="CO19">
        <v>11.9884265320735</v>
      </c>
      <c r="CP19">
        <v>14.2615397464913</v>
      </c>
      <c r="CQ19">
        <v>84.692901970614997</v>
      </c>
      <c r="CR19">
        <v>76.434283384132996</v>
      </c>
      <c r="CS19">
        <v>93.697522115855705</v>
      </c>
      <c r="CT19">
        <v>12.806178214234</v>
      </c>
      <c r="CU19">
        <v>11.355719111427801</v>
      </c>
      <c r="CV19">
        <v>14.288721651121801</v>
      </c>
      <c r="CW19">
        <v>10.8812735858794</v>
      </c>
      <c r="CX19">
        <v>8.2420503583065496</v>
      </c>
      <c r="CY19">
        <v>15.634551824920299</v>
      </c>
      <c r="CZ19">
        <v>14.6327516266296</v>
      </c>
      <c r="DA19">
        <v>9.5841243663766207</v>
      </c>
      <c r="DB19">
        <v>22.283186384498801</v>
      </c>
      <c r="DC19">
        <v>0</v>
      </c>
      <c r="DD19">
        <v>0</v>
      </c>
      <c r="DE19">
        <v>0</v>
      </c>
      <c r="DF19">
        <v>0.86597895410575698</v>
      </c>
      <c r="DG19">
        <v>0.86597895410575698</v>
      </c>
      <c r="DH19">
        <v>0.13402104589424299</v>
      </c>
      <c r="DI19">
        <v>0.43457482521575402</v>
      </c>
      <c r="DJ19">
        <v>0.39206234884149799</v>
      </c>
      <c r="DK19">
        <v>55.264212843943596</v>
      </c>
      <c r="DL19">
        <v>5.70534197586354</v>
      </c>
      <c r="DM19">
        <v>0.22647881658124999</v>
      </c>
      <c r="DN19">
        <v>1.14918517480515E-2</v>
      </c>
      <c r="DO19">
        <v>0.9</v>
      </c>
      <c r="DP19">
        <v>17.326203208556102</v>
      </c>
      <c r="DQ19">
        <v>0.10391132342075</v>
      </c>
      <c r="DR19">
        <v>-8.7738922468561104E-2</v>
      </c>
      <c r="DS19">
        <v>0</v>
      </c>
      <c r="DT19">
        <v>0</v>
      </c>
      <c r="DX19" s="5">
        <v>6.0000000000000001E-3</v>
      </c>
      <c r="DY19" s="5">
        <v>6.7999999999999996E-3</v>
      </c>
      <c r="DZ19" s="5">
        <v>5.1000000000000004E-3</v>
      </c>
    </row>
    <row r="20" spans="1:130" x14ac:dyDescent="0.2">
      <c r="A20" t="s">
        <v>176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1">
        <v>5.8558224726346904</v>
      </c>
      <c r="R20" s="21">
        <v>11.1466414733019</v>
      </c>
      <c r="S20" s="21">
        <v>0</v>
      </c>
      <c r="T20">
        <v>9.0260915871393905</v>
      </c>
      <c r="U20" s="13">
        <v>37.956540644274398</v>
      </c>
      <c r="V20">
        <v>31.826935995633999</v>
      </c>
      <c r="W20" s="6">
        <v>43.925989740778697</v>
      </c>
      <c r="X20" s="8">
        <v>1000</v>
      </c>
      <c r="Y20" s="22">
        <v>7.3058183163066601E-2</v>
      </c>
      <c r="Z20" s="22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4</v>
      </c>
      <c r="AK20" s="12">
        <v>4</v>
      </c>
      <c r="AL20" s="4">
        <v>10.136875816119</v>
      </c>
      <c r="AM20" s="6" t="s">
        <v>44</v>
      </c>
      <c r="AN20" s="12" t="s">
        <v>43</v>
      </c>
      <c r="AO20" s="13">
        <v>20230328</v>
      </c>
      <c r="AP20" s="13">
        <v>3210</v>
      </c>
      <c r="AQ20">
        <v>1.3481730365392699</v>
      </c>
      <c r="AR20">
        <v>0.86124592787809695</v>
      </c>
      <c r="AS20">
        <v>6.2921062747363296E-2</v>
      </c>
      <c r="AT20" s="13">
        <v>2.3103026050905499E-3</v>
      </c>
      <c r="AU20" s="2">
        <v>2.0145113813327599E-2</v>
      </c>
      <c r="AV20" s="2">
        <v>0.97985488618667305</v>
      </c>
      <c r="AW20" s="2">
        <v>0</v>
      </c>
      <c r="AX20" s="3">
        <v>2.1798766622784901E-4</v>
      </c>
      <c r="AY20" s="3">
        <v>1.8872655949820201E-4</v>
      </c>
      <c r="AZ20" s="3">
        <v>2.5571346284603301E-4</v>
      </c>
      <c r="BA20" s="3">
        <v>3.8132312887049899E-3</v>
      </c>
      <c r="BB20" s="3">
        <v>2.9062196428657201E-3</v>
      </c>
      <c r="BC20" s="3">
        <v>4.6212579291704699E-3</v>
      </c>
      <c r="BD20" s="3">
        <v>0</v>
      </c>
      <c r="BE20" s="3">
        <v>0</v>
      </c>
      <c r="BF20" s="3">
        <v>0</v>
      </c>
      <c r="BG20" s="3">
        <v>4.0312189549328303E-3</v>
      </c>
      <c r="BH20" s="3">
        <v>3.2540034044723598E-3</v>
      </c>
      <c r="BI20" s="3">
        <v>4.72237824233138E-3</v>
      </c>
      <c r="BJ20" s="3">
        <v>7.4488433462260402E-3</v>
      </c>
      <c r="BK20" s="3">
        <v>-1.20291428109661E-3</v>
      </c>
      <c r="BL20" s="3">
        <v>1.1714842930460501E-3</v>
      </c>
      <c r="BM20" s="3">
        <v>6.2459290651294304E-3</v>
      </c>
      <c r="BN20" s="3">
        <v>8.6203276392720907E-3</v>
      </c>
      <c r="BO20" s="3">
        <v>1.64628429759496E-3</v>
      </c>
      <c r="BP20" s="3">
        <v>1.14918545055938E-3</v>
      </c>
      <c r="BQ20" s="3">
        <v>2.1874908714500201E-3</v>
      </c>
      <c r="BR20" s="3">
        <v>0</v>
      </c>
      <c r="BS20" s="3">
        <v>0</v>
      </c>
      <c r="BT20" s="3">
        <v>0</v>
      </c>
      <c r="BU20" s="3">
        <v>1.7713400936982401E-3</v>
      </c>
      <c r="BV20" s="3">
        <v>1.4524988768325601E-3</v>
      </c>
      <c r="BW20" s="3">
        <v>2.09018131056393E-3</v>
      </c>
      <c r="BX20" s="3">
        <v>3.4176243912931998E-3</v>
      </c>
      <c r="BY20" s="3">
        <v>2.6016843273919399E-3</v>
      </c>
      <c r="BZ20" s="3">
        <v>4.2776721820139496E-3</v>
      </c>
      <c r="CA20">
        <v>3.7383177570093499E-3</v>
      </c>
      <c r="CB20" s="3">
        <v>3.42679127725857E-3</v>
      </c>
      <c r="CC20">
        <v>1</v>
      </c>
      <c r="CD20">
        <v>2381</v>
      </c>
      <c r="CE20">
        <v>5.03989920201596E-3</v>
      </c>
      <c r="CF20" s="19">
        <v>3.82843791722296E-3</v>
      </c>
      <c r="CG20" s="19">
        <v>4.8173036539269198E-3</v>
      </c>
      <c r="CH20" s="14">
        <v>27.8196648281553</v>
      </c>
      <c r="CI20" s="14">
        <v>25.286633629252801</v>
      </c>
      <c r="CJ20" s="13">
        <v>30.57745262992</v>
      </c>
      <c r="CK20" s="14">
        <v>27.8196648281553</v>
      </c>
      <c r="CL20" s="14">
        <v>25.286633629252801</v>
      </c>
      <c r="CM20">
        <v>30.57745262992</v>
      </c>
      <c r="CN20">
        <v>10.136875816119</v>
      </c>
      <c r="CO20">
        <v>8.3837643432290498</v>
      </c>
      <c r="CP20">
        <v>11.927135338594899</v>
      </c>
      <c r="CQ20">
        <v>28.133482502809098</v>
      </c>
      <c r="CR20">
        <v>23.695833468015199</v>
      </c>
      <c r="CS20">
        <v>32.175263016727797</v>
      </c>
      <c r="CT20">
        <v>1.38836667292827</v>
      </c>
      <c r="CU20">
        <v>0.41255718671605701</v>
      </c>
      <c r="CV20">
        <v>2.5487710166534101</v>
      </c>
      <c r="CW20">
        <v>6.9026292683377104</v>
      </c>
      <c r="CX20">
        <v>4.7297497268791</v>
      </c>
      <c r="CY20">
        <v>9.3505774957798309</v>
      </c>
      <c r="CZ20">
        <v>9.7857730271244295E-2</v>
      </c>
      <c r="DA20">
        <v>1.3578158563741999E-2</v>
      </c>
      <c r="DB20">
        <v>0.39998093738809398</v>
      </c>
      <c r="DC20">
        <v>0</v>
      </c>
      <c r="DD20">
        <v>0</v>
      </c>
      <c r="DE20">
        <v>0</v>
      </c>
      <c r="DF20">
        <v>0.73293438048274495</v>
      </c>
      <c r="DG20">
        <v>0.73293438048274495</v>
      </c>
      <c r="DH20">
        <v>0.26706561951725499</v>
      </c>
      <c r="DI20">
        <v>0.45881194906670197</v>
      </c>
      <c r="DJ20">
        <v>0.22101087474676301</v>
      </c>
      <c r="DK20">
        <v>20.541595385597802</v>
      </c>
      <c r="DL20">
        <v>18.493791942011502</v>
      </c>
      <c r="DM20">
        <v>2.1401212914629402</v>
      </c>
      <c r="DN20">
        <v>5.4988291489690196E-3</v>
      </c>
      <c r="DO20">
        <v>0.9</v>
      </c>
      <c r="DP20">
        <v>17.326203208556102</v>
      </c>
      <c r="DQ20">
        <v>0.157274902891371</v>
      </c>
      <c r="DR20">
        <v>-0.161491209627559</v>
      </c>
      <c r="DS20">
        <v>0</v>
      </c>
      <c r="DT20">
        <v>0</v>
      </c>
      <c r="DX20" s="5">
        <v>3.0999999999999999E-3</v>
      </c>
      <c r="DY20" s="5">
        <v>3.5000000000000001E-3</v>
      </c>
      <c r="DZ20" s="5">
        <v>2.5999999999999999E-3</v>
      </c>
    </row>
    <row r="21" spans="1:130" x14ac:dyDescent="0.2">
      <c r="A21" t="s">
        <v>112</v>
      </c>
      <c r="W21" s="4"/>
      <c r="X21" s="8"/>
      <c r="AK21" s="12">
        <v>1</v>
      </c>
      <c r="AL21" s="4"/>
      <c r="AM21" s="6"/>
      <c r="AN21" s="6"/>
      <c r="AO21" s="6"/>
      <c r="AP21" s="6"/>
      <c r="AT21" s="13">
        <v>4.7999999999999996E-3</v>
      </c>
      <c r="AU21" s="2"/>
      <c r="AV21" s="2"/>
      <c r="AW21" s="2"/>
      <c r="AX21" s="3">
        <f>BG21</f>
        <v>4.9420000000000002E-3</v>
      </c>
      <c r="AY21" s="3">
        <f t="shared" ref="AY21:AZ21" si="0">BH21</f>
        <v>3.9430225921521997E-3</v>
      </c>
      <c r="AZ21" s="3">
        <f t="shared" si="0"/>
        <v>5.9850499405469677E-3</v>
      </c>
      <c r="BG21" s="3">
        <v>4.9420000000000002E-3</v>
      </c>
      <c r="BH21" s="5">
        <f>$BG$21+BK21*$BG$21/$BJ$21</f>
        <v>3.9430225921521997E-3</v>
      </c>
      <c r="BI21" s="5">
        <f>$BG$21+BL21*$BG$21/$BJ$21</f>
        <v>5.9850499405469677E-3</v>
      </c>
      <c r="BJ21" s="3">
        <f>BG21+BU21</f>
        <v>1.0092E-2</v>
      </c>
      <c r="BK21" s="3">
        <v>-2.0400000000000001E-3</v>
      </c>
      <c r="BL21" s="3">
        <v>2.1299999999999999E-3</v>
      </c>
      <c r="BM21" s="3">
        <f>BJ21+BK21</f>
        <v>8.0520000000000001E-3</v>
      </c>
      <c r="BN21" s="3">
        <f>BJ21+BL21</f>
        <v>1.2222E-2</v>
      </c>
      <c r="BO21" s="3"/>
      <c r="BP21" s="3"/>
      <c r="BQ21" s="3"/>
      <c r="BR21" s="3"/>
      <c r="BT21"/>
      <c r="BU21" s="3">
        <v>5.1500000000000001E-3</v>
      </c>
      <c r="BV21" s="5">
        <f>$BU$21+BK21*$BU$21/$BJ$21</f>
        <v>4.1089774078478004E-3</v>
      </c>
      <c r="BW21" s="5">
        <f>$BU$21+BL21*$BU$21/$BJ$21</f>
        <v>6.2369500594530326E-3</v>
      </c>
      <c r="BX21"/>
    </row>
    <row r="22" spans="1:130" x14ac:dyDescent="0.2">
      <c r="A22" t="s">
        <v>150</v>
      </c>
      <c r="W22" s="4"/>
      <c r="X22" s="8"/>
      <c r="AK22" s="12"/>
      <c r="AL22" s="4"/>
      <c r="AM22" s="6"/>
      <c r="AN22" s="6"/>
      <c r="AO22" s="6"/>
      <c r="AP22" s="6"/>
      <c r="AT22" s="3"/>
      <c r="AU22" s="2"/>
      <c r="AV22" s="2"/>
      <c r="AW22" s="2"/>
      <c r="AX22" s="2"/>
      <c r="AY22" s="2"/>
      <c r="AZ22" s="2"/>
      <c r="BA22" s="3"/>
      <c r="BB22" s="3"/>
      <c r="BC22" s="2"/>
      <c r="BD22" s="2"/>
      <c r="BE22" s="3"/>
      <c r="BF22" s="3"/>
      <c r="BG22" s="3"/>
      <c r="BH22" s="3"/>
      <c r="BI22" s="3"/>
      <c r="BJ22" s="3"/>
      <c r="BK22" s="3"/>
      <c r="BM22" s="8"/>
      <c r="BN22" s="3"/>
      <c r="BO22" s="3"/>
      <c r="BP22" s="3"/>
      <c r="BR22"/>
      <c r="BS22"/>
      <c r="BT22"/>
      <c r="BU22"/>
      <c r="BV22"/>
      <c r="BW22"/>
      <c r="BX22"/>
    </row>
    <row r="23" spans="1:130" x14ac:dyDescent="0.2">
      <c r="A23" t="s">
        <v>151</v>
      </c>
      <c r="W23" s="4"/>
      <c r="X23" s="8"/>
      <c r="AK23" s="12"/>
      <c r="AL23" s="4"/>
      <c r="AM23" s="6"/>
      <c r="AN23" s="6"/>
      <c r="AO23" s="6"/>
      <c r="AP23" s="6"/>
      <c r="AT23" s="3"/>
      <c r="AU23" s="2"/>
      <c r="AV23" s="2"/>
      <c r="AW23" s="2"/>
      <c r="AX23" s="2"/>
      <c r="AY23" s="2"/>
      <c r="AZ23" s="2"/>
      <c r="BA23" s="3"/>
      <c r="BB23" s="3"/>
      <c r="BC23" s="2"/>
      <c r="BD23" s="2"/>
      <c r="BE23" s="3"/>
      <c r="BF23" s="3"/>
      <c r="BG23" s="3"/>
      <c r="BH23" s="3"/>
      <c r="BI23" s="3"/>
      <c r="BJ23" s="3"/>
      <c r="BK23" s="3"/>
      <c r="BM23" s="8"/>
      <c r="BN23" s="3"/>
      <c r="BO23" s="3"/>
      <c r="BP23" s="3"/>
      <c r="BR23"/>
      <c r="BS23"/>
      <c r="BT23"/>
      <c r="BU23"/>
      <c r="BV23"/>
      <c r="BW23"/>
      <c r="BX23"/>
    </row>
    <row r="24" spans="1:130" x14ac:dyDescent="0.2">
      <c r="A24" t="s">
        <v>152</v>
      </c>
      <c r="W24" s="4"/>
      <c r="X24" s="8"/>
      <c r="AK24" s="12"/>
      <c r="AL24" s="4"/>
      <c r="AM24" s="6"/>
      <c r="AN24" s="6"/>
      <c r="AO24" s="6"/>
      <c r="AP24" s="6"/>
      <c r="AT24" s="3"/>
      <c r="AU24" s="2"/>
      <c r="AV24" s="2"/>
      <c r="AW24" s="2"/>
      <c r="AX24" s="2"/>
      <c r="AY24" s="2"/>
      <c r="AZ24" s="2"/>
      <c r="BA24" s="3"/>
      <c r="BB24" s="3"/>
      <c r="BC24" s="2"/>
      <c r="BD24" s="2"/>
      <c r="BE24" s="3"/>
      <c r="BF24" s="3"/>
      <c r="BG24" s="3"/>
      <c r="BH24" s="3"/>
      <c r="BI24" s="3"/>
      <c r="BJ24" s="3"/>
      <c r="BK24" s="3"/>
      <c r="BM24" s="8"/>
      <c r="BN24" s="3"/>
      <c r="BO24" s="3"/>
      <c r="BP24" s="3"/>
      <c r="BR24"/>
      <c r="BS24"/>
      <c r="BT24"/>
      <c r="BU24"/>
      <c r="BV24"/>
      <c r="BW24"/>
      <c r="BX24"/>
    </row>
    <row r="25" spans="1:130" x14ac:dyDescent="0.2">
      <c r="A25" t="s">
        <v>154</v>
      </c>
      <c r="W25" s="4"/>
      <c r="X25" s="8"/>
      <c r="AK25" s="12"/>
      <c r="AL25" s="4"/>
      <c r="AM25" s="6"/>
      <c r="AN25" s="6"/>
      <c r="AO25" s="6"/>
      <c r="AP25" s="6"/>
      <c r="AT25" s="3"/>
      <c r="AU25" s="2"/>
      <c r="AV25" s="2"/>
      <c r="AW25" s="2"/>
      <c r="AX25" s="2"/>
      <c r="AY25" s="2"/>
      <c r="AZ25" s="2"/>
      <c r="BA25" s="3"/>
      <c r="BB25" s="3"/>
      <c r="BC25" s="2"/>
      <c r="BD25" s="2"/>
      <c r="BE25" s="3"/>
      <c r="BF25" s="3"/>
      <c r="BG25" s="3"/>
      <c r="BH25" s="3"/>
      <c r="BI25" s="3"/>
      <c r="BJ25" s="3"/>
      <c r="BK25" s="3"/>
      <c r="BM25" s="8"/>
      <c r="BN25" s="3"/>
      <c r="BO25" s="3"/>
      <c r="BP25" s="3"/>
      <c r="BR25"/>
      <c r="BS25"/>
      <c r="BT25"/>
      <c r="BU25"/>
      <c r="BV25"/>
      <c r="BW25"/>
      <c r="BX25"/>
    </row>
    <row r="26" spans="1:130" x14ac:dyDescent="0.2">
      <c r="A26" t="s">
        <v>153</v>
      </c>
      <c r="AA26" t="s">
        <v>121</v>
      </c>
      <c r="AB26" s="15">
        <f>AB27/AB30</f>
        <v>0.28137144015196247</v>
      </c>
      <c r="AP26" s="12"/>
      <c r="AQ26" s="4"/>
      <c r="AR26" s="6"/>
      <c r="AS26" s="6"/>
      <c r="AT26" s="6"/>
      <c r="AU26" s="6"/>
      <c r="AY26" s="3"/>
      <c r="AZ26" s="2"/>
      <c r="BA26" s="2"/>
      <c r="BB26" s="2"/>
      <c r="BC26" s="2"/>
      <c r="BD26" s="2"/>
      <c r="BE26" s="2"/>
      <c r="BF26" s="3"/>
      <c r="BG26" s="3"/>
      <c r="BH26" s="2"/>
      <c r="BI26" s="2"/>
      <c r="BJ26" s="3"/>
      <c r="BK26" s="3"/>
      <c r="BL26" s="3"/>
      <c r="BM26" s="3"/>
      <c r="BN26" s="3"/>
      <c r="BO26" s="3"/>
      <c r="BP26" s="3"/>
      <c r="BR26" s="8"/>
      <c r="BS26" s="3"/>
      <c r="BT26" s="3"/>
      <c r="BU26" s="3"/>
      <c r="BV26"/>
      <c r="BW26"/>
      <c r="BX26"/>
    </row>
    <row r="27" spans="1:130" x14ac:dyDescent="0.2">
      <c r="A27" t="s">
        <v>65</v>
      </c>
      <c r="C27" s="11"/>
      <c r="D27" s="20"/>
      <c r="U27" s="11">
        <f>U3+U7+U13+U14+U15+U16</f>
        <v>712.69993441987992</v>
      </c>
      <c r="V27" s="11">
        <f t="shared" ref="V27:W27" si="1">V3+V7+V13+V14+V15+V16</f>
        <v>671.65113485955567</v>
      </c>
      <c r="W27" s="11">
        <f t="shared" si="1"/>
        <v>755.79972472710938</v>
      </c>
      <c r="AB27" s="11">
        <f t="shared" ref="AB27:AD27" si="2">AB3+AB7+AB13+AB14+AB15+AB16</f>
        <v>23994.401100569525</v>
      </c>
      <c r="AC27" s="11">
        <f t="shared" si="2"/>
        <v>170569</v>
      </c>
      <c r="AD27" s="11">
        <f t="shared" si="2"/>
        <v>549072</v>
      </c>
      <c r="AI27" s="11">
        <f t="shared" ref="AI27" si="3">AI3+AI7+AI13+AI14+AI15+AI16</f>
        <v>601.40899999999999</v>
      </c>
      <c r="AJ27" s="11"/>
      <c r="AK27" s="11"/>
      <c r="AP27" s="12">
        <v>1</v>
      </c>
      <c r="AQ27" s="11">
        <f t="shared" ref="AQ27" si="4">AQ3+AQ7+AQ13+AQ14+AQ15+AQ16</f>
        <v>18.606750862182061</v>
      </c>
      <c r="AR27">
        <f>AD27/AC27</f>
        <v>3.219060907902374</v>
      </c>
      <c r="BE27" s="3">
        <f>U27/$AB27</f>
        <v>2.9702759882719618E-2</v>
      </c>
      <c r="BF27" s="3">
        <f>V27/$AB27</f>
        <v>2.7991994134148802E-2</v>
      </c>
      <c r="BG27" s="3">
        <f>W27/$AB27</f>
        <v>3.1499003519999083E-2</v>
      </c>
      <c r="BR27" s="11">
        <f t="shared" ref="BR27" si="5">BR3+BR7+BR13+BR14+BR15+BR16</f>
        <v>2.5245063937993101E-3</v>
      </c>
      <c r="BS27"/>
      <c r="BT27"/>
      <c r="BU27" s="3">
        <f>AI27/BR27</f>
        <v>238228.35286818055</v>
      </c>
      <c r="BV27" s="11">
        <f t="shared" ref="BV27" si="6">BV3+BV7+BV13+BV14+BV15+BV16</f>
        <v>1.6581009126096051E-2</v>
      </c>
      <c r="BW27" s="13"/>
      <c r="BX27" s="13"/>
      <c r="BY27" s="13"/>
      <c r="BZ27" s="13"/>
      <c r="CA27" s="13"/>
      <c r="CB27" s="13"/>
      <c r="CC27" s="13"/>
      <c r="CH27" s="11">
        <f>CH3+CH7+CH13+CH14+CH15+CH16</f>
        <v>532.80989943278382</v>
      </c>
    </row>
    <row r="28" spans="1:130" x14ac:dyDescent="0.2">
      <c r="A28" t="s">
        <v>66</v>
      </c>
      <c r="U28">
        <f>SUM(U2:U16)</f>
        <v>1357.3744400400276</v>
      </c>
      <c r="V28">
        <f t="shared" ref="V28:W28" si="7">SUM(V2:V16)</f>
        <v>1268.7274207194146</v>
      </c>
      <c r="W28">
        <f t="shared" si="7"/>
        <v>1452.2201368306246</v>
      </c>
      <c r="AB28">
        <f t="shared" ref="AB28:AD28" si="8">SUM(AB2:AB16)</f>
        <v>45847.976112745993</v>
      </c>
      <c r="AC28">
        <f t="shared" si="8"/>
        <v>398499</v>
      </c>
      <c r="AD28">
        <f t="shared" si="8"/>
        <v>1714261</v>
      </c>
      <c r="AI28">
        <f>SUM(AI2:AI16)</f>
        <v>1240.421</v>
      </c>
      <c r="AP28" s="12">
        <v>1</v>
      </c>
      <c r="AQ28">
        <f>SUM(AQ2:AQ16)</f>
        <v>62.970182045019286</v>
      </c>
      <c r="AR28" s="11">
        <f>AQ28/BR27</f>
        <v>24943.562115622513</v>
      </c>
      <c r="BE28" s="3">
        <f>U28/$AB28</f>
        <v>2.9605983843257803E-2</v>
      </c>
      <c r="BF28" s="3">
        <f>V28/$AB28</f>
        <v>2.767248477009002E-2</v>
      </c>
      <c r="BG28" s="3">
        <f>W28/$AB28</f>
        <v>3.1674683594744311E-2</v>
      </c>
      <c r="BR28">
        <f>SUM(BR2:BR16)</f>
        <v>5.0364846020605307E-3</v>
      </c>
      <c r="BS28"/>
      <c r="BT28"/>
      <c r="BU28" s="3">
        <f>AI28/BR28</f>
        <v>246287.06290346207</v>
      </c>
      <c r="BV28" s="3"/>
      <c r="BW28" s="13"/>
      <c r="BX28" s="13"/>
      <c r="BY28" s="13"/>
      <c r="BZ28" s="13"/>
      <c r="CA28" s="13"/>
      <c r="CB28" s="13"/>
      <c r="CC28" s="13"/>
      <c r="CG28" t="s">
        <v>182</v>
      </c>
      <c r="CH28">
        <f>CH27/U27</f>
        <v>0.74759358560412648</v>
      </c>
    </row>
    <row r="29" spans="1:130" x14ac:dyDescent="0.2">
      <c r="A29" t="s">
        <v>157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E29" s="3">
        <f>U29/$AB29</f>
        <v>4.6273607953268771E-2</v>
      </c>
      <c r="BF29" s="3">
        <f>V29/$AB29</f>
        <v>4.3964311189287064E-2</v>
      </c>
      <c r="BG29" s="3">
        <f>W29/$AB29</f>
        <v>4.8682036049981246E-2</v>
      </c>
      <c r="BR29"/>
      <c r="BS29"/>
      <c r="BT29"/>
      <c r="BU29"/>
      <c r="BV29"/>
      <c r="BY29" s="14"/>
      <c r="BZ29" s="14"/>
      <c r="CA29" s="14"/>
      <c r="CB29" s="14"/>
      <c r="CC29" s="14"/>
    </row>
    <row r="30" spans="1:130" x14ac:dyDescent="0.2">
      <c r="T30" t="s">
        <v>163</v>
      </c>
      <c r="U30">
        <v>1500</v>
      </c>
      <c r="AA30" t="s">
        <v>122</v>
      </c>
      <c r="AB30">
        <v>85276.604788356199</v>
      </c>
      <c r="BR30"/>
      <c r="BS30"/>
      <c r="BT30"/>
      <c r="BU30"/>
      <c r="BV30"/>
      <c r="BX30" s="1" t="s">
        <v>21</v>
      </c>
      <c r="BY30" s="14"/>
      <c r="BZ30" s="14"/>
      <c r="CA30" s="14"/>
      <c r="CB30" s="14"/>
      <c r="CC30" s="14"/>
      <c r="CO30" t="s">
        <v>181</v>
      </c>
      <c r="CP30">
        <f>0.7303</f>
        <v>0.73029999999999995</v>
      </c>
    </row>
    <row r="31" spans="1:130" x14ac:dyDescent="0.2">
      <c r="A31" t="s">
        <v>147</v>
      </c>
      <c r="T31" t="s">
        <v>164</v>
      </c>
      <c r="U31">
        <v>8760</v>
      </c>
      <c r="AC31" s="11">
        <f>SUM(Y2:Y6)</f>
        <v>0.25094268686362609</v>
      </c>
      <c r="AD31" s="11">
        <f>SUM(Z2:Z6)</f>
        <v>65.37911787111284</v>
      </c>
      <c r="AF31" s="11">
        <f>SUM(AB2:AB6)</f>
        <v>29423.656768716588</v>
      </c>
      <c r="AG31" s="11">
        <f>SUM(AC2:AC6)</f>
        <v>162037</v>
      </c>
      <c r="AH31" s="11">
        <f>SUM(AD2:AD6)</f>
        <v>643575</v>
      </c>
      <c r="AI31" s="11">
        <f>SUM(AE2:AE6)</f>
        <v>8.5003077455682394</v>
      </c>
      <c r="AJ31" s="11">
        <f>SUM(AF2:AF6)</f>
        <v>3866</v>
      </c>
      <c r="AK31" s="11">
        <f>SUM(AG2:AG6)</f>
        <v>3609.6640000000002</v>
      </c>
      <c r="AQ31" s="11">
        <f>SUM(AL2:AL6)</f>
        <v>272.18659127186544</v>
      </c>
      <c r="AR31">
        <f>AQ31/BR31</f>
        <v>1319.3069418110733</v>
      </c>
      <c r="BR31" s="11">
        <f>SUM(BM2:BM6)</f>
        <v>0.20631028507909038</v>
      </c>
      <c r="BS31"/>
      <c r="BT31"/>
      <c r="BU31"/>
      <c r="BV31"/>
      <c r="BX31" s="1" t="s">
        <v>123</v>
      </c>
      <c r="BY31" s="14"/>
      <c r="BZ31" s="14"/>
      <c r="CA31" s="14"/>
      <c r="CB31" s="14"/>
      <c r="CC31" s="14"/>
    </row>
    <row r="32" spans="1:130" x14ac:dyDescent="0.2">
      <c r="A32" t="s">
        <v>148</v>
      </c>
      <c r="T32" t="s">
        <v>173</v>
      </c>
      <c r="U32">
        <v>82.5</v>
      </c>
      <c r="V32" t="s">
        <v>174</v>
      </c>
      <c r="W32" t="s">
        <v>175</v>
      </c>
      <c r="AC32" s="11">
        <f>SUM(Y7:Y11)</f>
        <v>0.67541901240429048</v>
      </c>
      <c r="AD32" s="11">
        <f>SUM(Z7:Z11)</f>
        <v>80.237423199999995</v>
      </c>
      <c r="AF32" s="11">
        <f>SUM(AB7:AB11)</f>
        <v>1224.3124374545469</v>
      </c>
      <c r="AG32" s="11">
        <f>SUM(AC7:AC11)</f>
        <v>180339</v>
      </c>
      <c r="AH32" s="11">
        <f>SUM(AD7:AD11)</f>
        <v>870400</v>
      </c>
      <c r="AI32" s="11">
        <f>SUM(AE7:AE11)</f>
        <v>9.4819814098216195</v>
      </c>
      <c r="AJ32" s="11">
        <f>SUM(AF7:AF11)</f>
        <v>352</v>
      </c>
      <c r="AK32" s="11">
        <f>SUM(AG7:AG11)</f>
        <v>326.16800000000001</v>
      </c>
      <c r="AQ32" s="11">
        <f>SUM(AL7:AL11)</f>
        <v>15.645908719572068</v>
      </c>
      <c r="AR32">
        <f t="shared" ref="AR32:AR34" si="9">AQ32/BR32</f>
        <v>86.782189788381828</v>
      </c>
      <c r="BR32" s="11">
        <f>SUM(BM7:BM11)</f>
        <v>0.18028939760248711</v>
      </c>
      <c r="BS32"/>
      <c r="BT32"/>
      <c r="BU32"/>
      <c r="BV32"/>
      <c r="BX32" t="s">
        <v>22</v>
      </c>
      <c r="BY32" s="14"/>
      <c r="BZ32" s="14"/>
      <c r="CA32" s="14"/>
      <c r="CB32" s="14"/>
      <c r="CC32" s="14"/>
    </row>
    <row r="33" spans="1:81" x14ac:dyDescent="0.2">
      <c r="A33" t="s">
        <v>149</v>
      </c>
      <c r="T33" t="s">
        <v>170</v>
      </c>
      <c r="U33" s="15">
        <f>U27*$U$31</f>
        <v>6243251.4255181486</v>
      </c>
      <c r="V33" s="15">
        <f>V27*$U$31</f>
        <v>5883663.9413697077</v>
      </c>
      <c r="W33" s="15">
        <f>W27*$U$31</f>
        <v>6620805.5886094784</v>
      </c>
      <c r="AC33" s="11">
        <f>Y12+Y13</f>
        <v>0.13643788426632358</v>
      </c>
      <c r="AD33" s="11">
        <f>Z12+Z13</f>
        <v>21.262557299999997</v>
      </c>
      <c r="AF33" s="11">
        <f>AB12+AB13</f>
        <v>3970.1202531016097</v>
      </c>
      <c r="AG33" s="11">
        <f>AC12+AC13</f>
        <v>23359</v>
      </c>
      <c r="AH33" s="11">
        <f>AD12+AD13</f>
        <v>127167</v>
      </c>
      <c r="AI33" s="11">
        <f>AE12+AE13</f>
        <v>3.2176052236405002</v>
      </c>
      <c r="AJ33" s="11">
        <f>AF12+AF13</f>
        <v>74</v>
      </c>
      <c r="AK33" s="11">
        <f>AG12+AG13</f>
        <v>58.742999999999995</v>
      </c>
      <c r="AQ33" s="11">
        <f>AL12+AL13</f>
        <v>36.968504715451004</v>
      </c>
      <c r="AR33">
        <f t="shared" si="9"/>
        <v>1816.9090573420347</v>
      </c>
      <c r="BR33" s="11">
        <f>BM12+BM13</f>
        <v>2.0346920813710079E-2</v>
      </c>
      <c r="BS33"/>
      <c r="BT33"/>
      <c r="BU33"/>
      <c r="BV33"/>
      <c r="BX33" t="s">
        <v>56</v>
      </c>
      <c r="BY33" s="14"/>
      <c r="BZ33" s="14"/>
      <c r="CA33" s="14"/>
      <c r="CB33" s="14"/>
      <c r="CC33" s="14"/>
    </row>
    <row r="34" spans="1:81" x14ac:dyDescent="0.2">
      <c r="A34" t="s">
        <v>156</v>
      </c>
      <c r="T34" t="s">
        <v>172</v>
      </c>
      <c r="U34" s="15">
        <f>U33*$U$32</f>
        <v>515068242.60524726</v>
      </c>
      <c r="V34" s="15">
        <f>V33*$U$32</f>
        <v>485402275.16300088</v>
      </c>
      <c r="W34" s="15">
        <f>W33*$U$32</f>
        <v>546216461.06028199</v>
      </c>
      <c r="AC34" s="17">
        <f>SUM(AC31:AC33)</f>
        <v>1.0627995835342401</v>
      </c>
      <c r="AD34" s="17">
        <f>SUM(AD31:AD33)</f>
        <v>166.87909837111283</v>
      </c>
      <c r="AQ34" s="11">
        <f>SUM(AQ31:AQ33)</f>
        <v>324.80100470688848</v>
      </c>
      <c r="AR34">
        <f t="shared" si="9"/>
        <v>798.14157906013736</v>
      </c>
      <c r="BR34" s="11">
        <f>SUM(BR31:BR33)</f>
        <v>0.40694660349528761</v>
      </c>
      <c r="BS34"/>
      <c r="BT34"/>
      <c r="BU34"/>
      <c r="BV34"/>
      <c r="BX34" t="s">
        <v>57</v>
      </c>
      <c r="BY34" s="14"/>
      <c r="BZ34" s="14"/>
      <c r="CA34" s="14"/>
      <c r="CB34" s="14"/>
      <c r="CC34" s="14"/>
    </row>
    <row r="35" spans="1:81" x14ac:dyDescent="0.2">
      <c r="T35" t="s">
        <v>168</v>
      </c>
      <c r="U35" s="11">
        <f>U33*$U$30</f>
        <v>9364877138.2772236</v>
      </c>
      <c r="V35" s="11">
        <f>V33*$U$30</f>
        <v>8825495912.0545616</v>
      </c>
      <c r="W35" s="11">
        <f>W33*$U$30</f>
        <v>9931208382.914217</v>
      </c>
      <c r="BR35"/>
      <c r="BS35"/>
      <c r="BT35"/>
      <c r="BU35"/>
      <c r="BV35"/>
      <c r="BX35" t="s">
        <v>58</v>
      </c>
      <c r="BY35" s="14"/>
      <c r="BZ35" s="14"/>
      <c r="CA35" s="14"/>
      <c r="CB35" s="14"/>
      <c r="CC35" s="14"/>
    </row>
    <row r="36" spans="1:81" x14ac:dyDescent="0.2">
      <c r="T36" t="s">
        <v>165</v>
      </c>
      <c r="U36">
        <v>3</v>
      </c>
      <c r="AA36" s="15">
        <f>AB27*$U31/$U37</f>
        <v>12128733620.368668</v>
      </c>
      <c r="BR36"/>
      <c r="BS36"/>
      <c r="BT36"/>
      <c r="BU36"/>
      <c r="BV36"/>
      <c r="BX36" t="s">
        <v>59</v>
      </c>
      <c r="BY36" s="14"/>
      <c r="BZ36" s="14"/>
      <c r="CA36" s="14"/>
      <c r="CB36" s="14"/>
      <c r="CC36" s="14"/>
    </row>
    <row r="37" spans="1:81" x14ac:dyDescent="0.2">
      <c r="T37" t="s">
        <v>166</v>
      </c>
      <c r="U37">
        <v>1.7330000000000002E-2</v>
      </c>
      <c r="AA37" s="15">
        <f>AB30*$U31/$U37</f>
        <v>43105773684.131577</v>
      </c>
      <c r="BR37"/>
      <c r="BS37"/>
      <c r="BT37"/>
      <c r="BU37"/>
      <c r="BV37"/>
      <c r="BX37" t="s">
        <v>74</v>
      </c>
      <c r="BY37" s="14"/>
      <c r="BZ37" s="14"/>
      <c r="CA37" s="14"/>
      <c r="CB37" s="14"/>
      <c r="CC37" s="14"/>
    </row>
    <row r="38" spans="1:81" x14ac:dyDescent="0.2">
      <c r="T38" t="s">
        <v>169</v>
      </c>
      <c r="U38" s="15">
        <f>U33/$U$37</f>
        <v>360256862.40727919</v>
      </c>
      <c r="V38" s="15">
        <f>V33/$U$37</f>
        <v>339507440.35601312</v>
      </c>
      <c r="W38" s="15">
        <f>W33/$U$37</f>
        <v>382043023.00112396</v>
      </c>
      <c r="BR38"/>
      <c r="BS38"/>
      <c r="BT38"/>
      <c r="BU38"/>
      <c r="BV38"/>
      <c r="BX38" t="s">
        <v>75</v>
      </c>
      <c r="BY38" s="14"/>
      <c r="BZ38" s="14"/>
      <c r="CA38" s="14"/>
      <c r="CB38" s="14"/>
      <c r="CC38" s="14"/>
    </row>
    <row r="39" spans="1:81" x14ac:dyDescent="0.2">
      <c r="T39" t="s">
        <v>167</v>
      </c>
      <c r="U39" s="15">
        <f>U38*$U$36</f>
        <v>1080770587.2218375</v>
      </c>
      <c r="V39" s="15">
        <f>V38*$U$36</f>
        <v>1018522321.0680394</v>
      </c>
      <c r="W39" s="15">
        <f>W38*$U$36</f>
        <v>1146129069.003372</v>
      </c>
      <c r="BR39"/>
      <c r="BS39"/>
      <c r="BT39"/>
      <c r="BU39"/>
      <c r="BV39"/>
      <c r="BX39" t="s">
        <v>76</v>
      </c>
      <c r="BY39" s="14"/>
      <c r="BZ39" s="14"/>
      <c r="CA39" s="14"/>
      <c r="CB39" s="14"/>
      <c r="CC39" s="14"/>
    </row>
    <row r="40" spans="1:81" x14ac:dyDescent="0.2">
      <c r="T40" t="s">
        <v>171</v>
      </c>
      <c r="U40">
        <f>U36/U37</f>
        <v>173.11021350259665</v>
      </c>
      <c r="BR40"/>
      <c r="BS40"/>
      <c r="BT40"/>
      <c r="BU40"/>
      <c r="BV40"/>
      <c r="BX40" t="s">
        <v>85</v>
      </c>
      <c r="BY40" s="14"/>
      <c r="BZ40" s="14"/>
      <c r="CA40" s="14"/>
      <c r="CB40" s="14"/>
      <c r="CC40" s="14"/>
    </row>
    <row r="41" spans="1:81" x14ac:dyDescent="0.2">
      <c r="BS41" t="s">
        <v>111</v>
      </c>
    </row>
    <row r="42" spans="1:81" x14ac:dyDescent="0.2">
      <c r="BS42" t="s">
        <v>26</v>
      </c>
    </row>
    <row r="43" spans="1:81" x14ac:dyDescent="0.2">
      <c r="BS43" t="s">
        <v>32</v>
      </c>
    </row>
    <row r="44" spans="1:81" x14ac:dyDescent="0.2">
      <c r="BS44" t="s">
        <v>29</v>
      </c>
    </row>
    <row r="45" spans="1:81" x14ac:dyDescent="0.2">
      <c r="BS45" t="s">
        <v>51</v>
      </c>
    </row>
    <row r="46" spans="1:81" x14ac:dyDescent="0.2">
      <c r="BS46" t="s">
        <v>49</v>
      </c>
    </row>
    <row r="47" spans="1:81" x14ac:dyDescent="0.2">
      <c r="BS47" t="s">
        <v>48</v>
      </c>
    </row>
    <row r="48" spans="1:81" x14ac:dyDescent="0.2">
      <c r="BS48" t="s">
        <v>52</v>
      </c>
    </row>
    <row r="49" spans="71:71" x14ac:dyDescent="0.2">
      <c r="BS49" t="s">
        <v>117</v>
      </c>
    </row>
    <row r="50" spans="71:71" x14ac:dyDescent="0.2">
      <c r="BS50" t="s">
        <v>114</v>
      </c>
    </row>
    <row r="51" spans="71:71" x14ac:dyDescent="0.2">
      <c r="BS51" t="s">
        <v>28</v>
      </c>
    </row>
    <row r="52" spans="71:71" x14ac:dyDescent="0.2">
      <c r="BS52" t="s">
        <v>118</v>
      </c>
    </row>
    <row r="53" spans="71:71" x14ac:dyDescent="0.2">
      <c r="BS53" t="s">
        <v>115</v>
      </c>
    </row>
    <row r="54" spans="71:71" x14ac:dyDescent="0.2">
      <c r="BS54" t="s">
        <v>116</v>
      </c>
    </row>
    <row r="55" spans="71:71" x14ac:dyDescent="0.2">
      <c r="BS55" t="s">
        <v>119</v>
      </c>
    </row>
    <row r="56" spans="71:71" x14ac:dyDescent="0.2">
      <c r="BS56" t="s">
        <v>120</v>
      </c>
    </row>
    <row r="57" spans="71:71" x14ac:dyDescent="0.2">
      <c r="BS57" t="s">
        <v>113</v>
      </c>
    </row>
    <row r="58" spans="71:71" x14ac:dyDescent="0.2">
      <c r="BS58" t="s">
        <v>30</v>
      </c>
    </row>
    <row r="59" spans="71:71" x14ac:dyDescent="0.2">
      <c r="BS59" t="s">
        <v>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W65"/>
  <sheetViews>
    <sheetView topLeftCell="A19" workbookViewId="0">
      <selection activeCell="D25" sqref="D25"/>
    </sheetView>
  </sheetViews>
  <sheetFormatPr baseColWidth="10" defaultRowHeight="16" x14ac:dyDescent="0.2"/>
  <cols>
    <col min="8" max="8" width="16.33203125" customWidth="1"/>
    <col min="23" max="23" width="13.1640625" customWidth="1"/>
  </cols>
  <sheetData>
    <row r="1" spans="1:17" x14ac:dyDescent="0.2">
      <c r="I1" t="s">
        <v>244</v>
      </c>
    </row>
    <row r="2" spans="1:17" x14ac:dyDescent="0.2">
      <c r="A2" s="23" t="s">
        <v>241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3" t="s">
        <v>242</v>
      </c>
      <c r="I2" t="s">
        <v>243</v>
      </c>
      <c r="K2" s="23" t="s">
        <v>245</v>
      </c>
      <c r="L2" t="str" cm="1">
        <f t="array" ref="L2:L21">'By site'!CD1:CD20</f>
        <v>Well sites covered</v>
      </c>
      <c r="M2" t="str" cm="1">
        <f t="array" ref="M2:M21">'By site'!AF1:AF20</f>
        <v># production plumes</v>
      </c>
      <c r="N2" t="str" cm="1">
        <f t="array" ref="N2:N21">'By site'!AH1:AH20</f>
        <v># prod sources overall</v>
      </c>
      <c r="O2" t="str" cm="1">
        <f t="array" ref="O2:O21">'By site'!AQ1:AQ20</f>
        <v>Avg visits/well site</v>
      </c>
      <c r="P2" t="str" cm="1">
        <f t="array" ref="P2:P21">'By site'!AI1:AI20</f>
        <v># avg prod sources sim</v>
      </c>
      <c r="Q2" t="str" cm="1">
        <f t="array" ref="Q2:Q21">'By site'!CG1:CG20</f>
        <v>Avg % sites emitting</v>
      </c>
    </row>
    <row r="3" spans="1:17" x14ac:dyDescent="0.2">
      <c r="A3" t="s">
        <v>146</v>
      </c>
      <c r="B3" s="6">
        <v>25.364999999999998</v>
      </c>
      <c r="C3" s="6">
        <v>7.0962342611128504</v>
      </c>
      <c r="D3">
        <v>1083</v>
      </c>
      <c r="E3" s="4">
        <v>1081.8779999999999</v>
      </c>
      <c r="H3" t="s">
        <v>146</v>
      </c>
      <c r="I3">
        <f>1000*'By site'!K2/'By site'!CD2</f>
        <v>5.5978906783904607</v>
      </c>
      <c r="K3" t="s">
        <v>146</v>
      </c>
      <c r="L3">
        <v>18030</v>
      </c>
      <c r="M3">
        <v>1083</v>
      </c>
      <c r="N3">
        <v>537</v>
      </c>
      <c r="O3" s="6">
        <v>3.76982806433722</v>
      </c>
      <c r="P3" s="6">
        <v>258.721</v>
      </c>
      <c r="Q3" s="3">
        <v>1.4349473100388199E-2</v>
      </c>
    </row>
    <row r="4" spans="1:17" x14ac:dyDescent="0.2">
      <c r="A4" t="s">
        <v>129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129</v>
      </c>
      <c r="I4">
        <f>1000*'By site'!K3/'By site'!CD3</f>
        <v>6.5952485806172616</v>
      </c>
      <c r="K4" t="s">
        <v>129</v>
      </c>
      <c r="L4">
        <v>46337</v>
      </c>
      <c r="M4">
        <v>1749</v>
      </c>
      <c r="N4">
        <v>1054</v>
      </c>
      <c r="O4" s="6">
        <v>3.8655933703088201</v>
      </c>
      <c r="P4" s="6">
        <v>483.44900000000001</v>
      </c>
      <c r="Q4" s="3">
        <v>1.0433325420290501E-2</v>
      </c>
    </row>
    <row r="5" spans="1:17" x14ac:dyDescent="0.2">
      <c r="A5" t="s">
        <v>130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130</v>
      </c>
      <c r="I5">
        <f>1000*'By site'!K4/'By site'!CD4</f>
        <v>6.1230245031943387</v>
      </c>
      <c r="K5" t="s">
        <v>130</v>
      </c>
      <c r="L5">
        <v>9380</v>
      </c>
      <c r="M5">
        <v>284</v>
      </c>
      <c r="N5">
        <v>239</v>
      </c>
      <c r="O5" s="6">
        <v>2.85575692963753</v>
      </c>
      <c r="P5" s="6">
        <v>101.24</v>
      </c>
      <c r="Q5" s="3">
        <v>1.07931769722815E-2</v>
      </c>
    </row>
    <row r="6" spans="1:17" x14ac:dyDescent="0.2">
      <c r="A6" t="s">
        <v>132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132</v>
      </c>
      <c r="I6">
        <f>1000*'By site'!K5/'By site'!CD5</f>
        <v>6.2382058619041594</v>
      </c>
      <c r="K6" t="s">
        <v>132</v>
      </c>
      <c r="L6">
        <v>10432</v>
      </c>
      <c r="M6">
        <v>416</v>
      </c>
      <c r="N6">
        <v>296</v>
      </c>
      <c r="O6" s="6">
        <v>4.82716641104295</v>
      </c>
      <c r="P6" s="6">
        <v>124.71</v>
      </c>
      <c r="Q6" s="3">
        <v>1.1954562883435599E-2</v>
      </c>
    </row>
    <row r="7" spans="1:17" x14ac:dyDescent="0.2">
      <c r="A7" t="s">
        <v>131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131</v>
      </c>
      <c r="I7">
        <f>1000*'By site'!K6/'By site'!CD6</f>
        <v>6.0889629627123965</v>
      </c>
      <c r="K7" t="s">
        <v>131</v>
      </c>
      <c r="L7">
        <v>10777</v>
      </c>
      <c r="M7">
        <v>334</v>
      </c>
      <c r="N7">
        <v>232</v>
      </c>
      <c r="O7" s="6">
        <v>4.7946552844019701</v>
      </c>
      <c r="P7" s="6">
        <v>92.784999999999997</v>
      </c>
      <c r="Q7" s="3">
        <v>8.6095388326992706E-3</v>
      </c>
    </row>
    <row r="8" spans="1:17" x14ac:dyDescent="0.2">
      <c r="A8" t="s">
        <v>133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133</v>
      </c>
      <c r="I8">
        <f>1000*'By site'!K7/'By site'!CD7</f>
        <v>0.20819119893327348</v>
      </c>
      <c r="K8" t="s">
        <v>133</v>
      </c>
      <c r="L8">
        <v>23779</v>
      </c>
      <c r="M8">
        <v>77</v>
      </c>
      <c r="N8">
        <v>40</v>
      </c>
      <c r="O8" s="6">
        <v>1.9552546364439201</v>
      </c>
      <c r="P8" s="6">
        <v>15.074</v>
      </c>
      <c r="Q8" s="3">
        <v>6.33920686319862E-4</v>
      </c>
    </row>
    <row r="9" spans="1:17" x14ac:dyDescent="0.2">
      <c r="A9" t="s">
        <v>134</v>
      </c>
      <c r="B9" s="6">
        <v>40.99</v>
      </c>
      <c r="C9" s="6">
        <v>11</v>
      </c>
      <c r="D9">
        <v>86</v>
      </c>
      <c r="E9" s="4">
        <v>80.173000000000002</v>
      </c>
      <c r="H9" t="s">
        <v>134</v>
      </c>
      <c r="I9">
        <f>1000*'By site'!K8/'By site'!CD8</f>
        <v>0.30893290631291048</v>
      </c>
      <c r="K9" t="s">
        <v>134</v>
      </c>
      <c r="L9">
        <v>23103</v>
      </c>
      <c r="M9">
        <v>86</v>
      </c>
      <c r="N9">
        <v>54</v>
      </c>
      <c r="O9" s="6">
        <v>4.7679522139981803</v>
      </c>
      <c r="P9" s="6">
        <v>15.945</v>
      </c>
      <c r="Q9" s="3">
        <v>6.9017010777821098E-4</v>
      </c>
    </row>
    <row r="10" spans="1:17" x14ac:dyDescent="0.2">
      <c r="A10" t="s">
        <v>136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136</v>
      </c>
      <c r="I10">
        <f>1000*'By site'!K9/'By site'!CD9</f>
        <v>0.35324617460032459</v>
      </c>
      <c r="K10" t="s">
        <v>136</v>
      </c>
      <c r="L10">
        <v>15992</v>
      </c>
      <c r="M10">
        <v>94</v>
      </c>
      <c r="N10">
        <v>39</v>
      </c>
      <c r="O10" s="6">
        <v>7.4688594297148603</v>
      </c>
      <c r="P10" s="6">
        <v>13.337</v>
      </c>
      <c r="Q10" s="3">
        <v>8.3397948974487204E-4</v>
      </c>
    </row>
    <row r="11" spans="1:17" x14ac:dyDescent="0.2">
      <c r="A11" t="s">
        <v>135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135</v>
      </c>
      <c r="I11">
        <f>1000*'By site'!K10/'By site'!CD10</f>
        <v>0.26911196549090538</v>
      </c>
      <c r="K11" t="s">
        <v>135</v>
      </c>
      <c r="L11">
        <v>16579</v>
      </c>
      <c r="M11">
        <v>48</v>
      </c>
      <c r="N11">
        <v>27</v>
      </c>
      <c r="O11" s="6">
        <v>7.2219675493093698</v>
      </c>
      <c r="P11" s="6">
        <v>8.0670000000000002</v>
      </c>
      <c r="Q11" s="3">
        <v>4.8657940768441997E-4</v>
      </c>
    </row>
    <row r="12" spans="1:17" x14ac:dyDescent="0.2">
      <c r="A12" t="s">
        <v>137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137</v>
      </c>
      <c r="I12">
        <f>1000*'By site'!K11/'By site'!CD11</f>
        <v>0.2080101582502234</v>
      </c>
      <c r="K12" t="s">
        <v>137</v>
      </c>
      <c r="L12">
        <v>16743</v>
      </c>
      <c r="M12">
        <v>47</v>
      </c>
      <c r="N12">
        <v>35</v>
      </c>
      <c r="O12" s="6">
        <v>3.5712237950188102</v>
      </c>
      <c r="P12" s="6">
        <v>15.715999999999999</v>
      </c>
      <c r="Q12" s="3">
        <v>9.3866093292719395E-4</v>
      </c>
    </row>
    <row r="13" spans="1:17" x14ac:dyDescent="0.2">
      <c r="A13" t="s">
        <v>138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138</v>
      </c>
      <c r="I13">
        <f>1000*'By site'!K12/'By site'!CD12</f>
        <v>2.0040840830601874</v>
      </c>
      <c r="K13" t="s">
        <v>138</v>
      </c>
      <c r="L13">
        <v>7254</v>
      </c>
      <c r="M13">
        <v>34</v>
      </c>
      <c r="N13">
        <v>27</v>
      </c>
      <c r="O13" s="6">
        <v>5.0860215053763396</v>
      </c>
      <c r="P13" s="6">
        <v>8.4909999999999997</v>
      </c>
      <c r="Q13" s="3">
        <v>1.1705266060104799E-3</v>
      </c>
    </row>
    <row r="14" spans="1:17" x14ac:dyDescent="0.2">
      <c r="A14" t="s">
        <v>139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139</v>
      </c>
      <c r="I14">
        <f>1000*'By site'!K13/'By site'!CD13</f>
        <v>2.01327945823031</v>
      </c>
      <c r="K14" t="s">
        <v>139</v>
      </c>
      <c r="L14">
        <v>7265</v>
      </c>
      <c r="M14">
        <v>40</v>
      </c>
      <c r="N14">
        <v>33</v>
      </c>
      <c r="O14" s="6">
        <v>5.8016517549896802</v>
      </c>
      <c r="P14" s="6">
        <v>8.4730000000000008</v>
      </c>
      <c r="Q14" s="3">
        <v>1.16627666896077E-3</v>
      </c>
    </row>
    <row r="15" spans="1:17" x14ac:dyDescent="0.2">
      <c r="A15" t="s">
        <v>140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140</v>
      </c>
      <c r="I15">
        <f>1000*'By site'!K14/'By site'!CD14</f>
        <v>3.9341650577811422</v>
      </c>
      <c r="K15" t="s">
        <v>140</v>
      </c>
      <c r="L15">
        <v>12801</v>
      </c>
      <c r="M15">
        <v>64</v>
      </c>
      <c r="N15">
        <v>43</v>
      </c>
      <c r="O15" s="6">
        <v>1.72603702835716</v>
      </c>
      <c r="P15" s="6">
        <v>29.501999999999999</v>
      </c>
      <c r="Q15" s="3">
        <v>2.3046636981485799E-3</v>
      </c>
    </row>
    <row r="16" spans="1:17" x14ac:dyDescent="0.2">
      <c r="A16" t="s">
        <v>128</v>
      </c>
      <c r="B16" s="6">
        <v>52.98</v>
      </c>
      <c r="C16" s="6">
        <v>8.3545392399999994</v>
      </c>
      <c r="D16">
        <v>56</v>
      </c>
      <c r="E16" s="4">
        <v>41.13</v>
      </c>
      <c r="H16" t="s">
        <v>128</v>
      </c>
      <c r="I16">
        <f>1000*'By site'!K15/'By site'!CD15</f>
        <v>3.0569241279195123</v>
      </c>
      <c r="K16" t="s">
        <v>128</v>
      </c>
      <c r="L16">
        <v>5371</v>
      </c>
      <c r="M16">
        <v>56</v>
      </c>
      <c r="N16">
        <v>42</v>
      </c>
      <c r="O16" s="6">
        <v>3.5211320052131798</v>
      </c>
      <c r="P16" s="6">
        <v>24.905000000000001</v>
      </c>
      <c r="Q16" s="3">
        <v>4.6369391174827801E-3</v>
      </c>
    </row>
    <row r="17" spans="1:23" x14ac:dyDescent="0.2">
      <c r="A17" t="s">
        <v>141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141</v>
      </c>
      <c r="I17">
        <f>1000*'By site'!K16/'By site'!CD16</f>
        <v>4.2104024166119203</v>
      </c>
      <c r="K17" t="s">
        <v>141</v>
      </c>
      <c r="L17">
        <v>4606</v>
      </c>
      <c r="M17">
        <v>80</v>
      </c>
      <c r="N17">
        <v>49</v>
      </c>
      <c r="O17" s="6">
        <v>1.7370820668692999</v>
      </c>
      <c r="P17" s="6">
        <v>40.006</v>
      </c>
      <c r="Q17" s="3">
        <v>8.6856274424663496E-3</v>
      </c>
    </row>
    <row r="18" spans="1:23" x14ac:dyDescent="0.2">
      <c r="A18" t="s">
        <v>142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142</v>
      </c>
      <c r="I18">
        <f>1000*'By site'!K17/'By site'!CD17</f>
        <v>13.453211996184498</v>
      </c>
      <c r="K18" t="s">
        <v>142</v>
      </c>
      <c r="L18">
        <v>9404</v>
      </c>
      <c r="M18">
        <v>1052</v>
      </c>
      <c r="N18">
        <v>540</v>
      </c>
      <c r="O18" s="6">
        <v>8.8941939600170201</v>
      </c>
      <c r="P18" s="6">
        <v>166.93299999999999</v>
      </c>
      <c r="Q18" s="3">
        <v>1.77512760527435E-2</v>
      </c>
    </row>
    <row r="19" spans="1:23" x14ac:dyDescent="0.2">
      <c r="A19" t="s">
        <v>143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143</v>
      </c>
      <c r="I19">
        <f>1000*'By site'!K18/'By site'!CD18</f>
        <v>16.403047093798396</v>
      </c>
      <c r="K19" t="s">
        <v>143</v>
      </c>
      <c r="L19">
        <v>4358</v>
      </c>
      <c r="M19">
        <v>922</v>
      </c>
      <c r="N19">
        <v>447</v>
      </c>
      <c r="O19" s="6">
        <v>12.681964203763201</v>
      </c>
      <c r="P19" s="6">
        <v>117.85899999999999</v>
      </c>
      <c r="Q19" s="3">
        <v>2.7044286369894501E-2</v>
      </c>
    </row>
    <row r="20" spans="1:23" x14ac:dyDescent="0.2">
      <c r="A20" t="s">
        <v>144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144</v>
      </c>
      <c r="I20">
        <f>1000*'By site'!K19/'By site'!CD19</f>
        <v>10.954254280266323</v>
      </c>
      <c r="K20" t="s">
        <v>144</v>
      </c>
      <c r="L20">
        <v>5045</v>
      </c>
      <c r="M20">
        <v>130</v>
      </c>
      <c r="N20">
        <v>93</v>
      </c>
      <c r="O20" s="6">
        <v>5.6239841427155604</v>
      </c>
      <c r="P20" s="6">
        <v>49.05</v>
      </c>
      <c r="Q20" s="3">
        <v>9.7224975222993098E-3</v>
      </c>
    </row>
    <row r="21" spans="1:23" x14ac:dyDescent="0.2">
      <c r="A21" t="s">
        <v>176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176</v>
      </c>
      <c r="I21">
        <f>1000*'By site'!K20/'By site'!CD20</f>
        <v>8.6272975160007555</v>
      </c>
      <c r="K21" t="s">
        <v>176</v>
      </c>
      <c r="L21">
        <v>2381</v>
      </c>
      <c r="M21">
        <v>12</v>
      </c>
      <c r="N21">
        <v>12</v>
      </c>
      <c r="O21" s="6">
        <v>1.3481730365392699</v>
      </c>
      <c r="P21" s="6">
        <v>11.47</v>
      </c>
      <c r="Q21" s="3">
        <v>4.8173036539269198E-3</v>
      </c>
    </row>
    <row r="23" spans="1:23" x14ac:dyDescent="0.2">
      <c r="A23" s="23" t="s">
        <v>246</v>
      </c>
      <c r="B23" t="s">
        <v>247</v>
      </c>
      <c r="C23" t="str" cm="1">
        <f t="array" ref="C23:C42">'By site'!AB1:AB20</f>
        <v>Total covered production (t(CH4)/hr)</v>
      </c>
      <c r="D23" t="s">
        <v>248</v>
      </c>
      <c r="G23" s="23" t="s">
        <v>251</v>
      </c>
      <c r="H23" t="s">
        <v>252</v>
      </c>
      <c r="I23" t="s">
        <v>253</v>
      </c>
      <c r="J23" t="s">
        <v>254</v>
      </c>
      <c r="K23" t="s">
        <v>255</v>
      </c>
      <c r="N23" s="23" t="s">
        <v>256</v>
      </c>
      <c r="O23" t="s">
        <v>257</v>
      </c>
      <c r="P23" t="s">
        <v>258</v>
      </c>
      <c r="Q23" t="s">
        <v>259</v>
      </c>
      <c r="R23" t="s">
        <v>260</v>
      </c>
      <c r="T23" s="23" t="s">
        <v>261</v>
      </c>
      <c r="U23" t="s">
        <v>262</v>
      </c>
      <c r="V23" t="s">
        <v>263</v>
      </c>
      <c r="W23" t="s">
        <v>264</v>
      </c>
    </row>
    <row r="24" spans="1:23" x14ac:dyDescent="0.2">
      <c r="A24" t="s">
        <v>146</v>
      </c>
      <c r="B24" t="str">
        <f>ROUND('By site'!U2, 0) &amp; " ["  &amp; ROUND('By site'!V2, 0) &amp; ", " &amp; ROUND('By site'!W2, 0) &amp; "]"</f>
        <v>187 [176, 200]</v>
      </c>
      <c r="C24" s="4">
        <v>1952.04513368984</v>
      </c>
      <c r="D24" t="str">
        <f>ROUND('By site'!BJ2*100, 2) &amp; " ["  &amp; ROUND('By site'!BM2*100, 2) &amp; ", " &amp; ROUND('By site'!BN2*100, 2) &amp; "]"</f>
        <v>9.57 [8.99, 10.26]</v>
      </c>
      <c r="G24" t="s">
        <v>146</v>
      </c>
      <c r="H24" t="str">
        <f>ROUND('By site'!AX2*100, 2) &amp; CHAR(10) &amp; "["  &amp; ROUND('By site'!AY2*100, 2) &amp; ", " &amp; ROUND('By site'!AZ2*100, 2) &amp; "]"</f>
        <v>0.93
[0.89, 0.97]</v>
      </c>
      <c r="I24" t="str">
        <f>ROUND('By site'!BA2*100, 2) &amp; CHAR(10) &amp; "["  &amp; ROUND('By site'!BB2*100, 2) &amp; ", " &amp; ROUND('By site'!BC2*100, 2) &amp; "]"</f>
        <v>4
[3.33, 4.81]</v>
      </c>
      <c r="J24" t="str">
        <f>ROUND('By site'!BD2*100, 2) &amp; CHAR(10) &amp; "["  &amp; ROUND('By site'!BE2*100, 2) &amp; ", " &amp; ROUND('By site'!BF2*100, 2) &amp; "]"</f>
        <v>0.25
[0.18, 0.32]</v>
      </c>
      <c r="K24" t="str">
        <f>ROUND('By site'!BG2*100, 2) &amp; CHAR(10) &amp; "["  &amp; ROUND('By site'!BH2*100, 2) &amp; ", " &amp; ROUND('By site'!BI2*100, 2) &amp; "]"</f>
        <v>5.17
[4.83, 5.59]</v>
      </c>
      <c r="N24" t="s">
        <v>146</v>
      </c>
      <c r="O24" t="str">
        <f>ROUND('By site'!BU2*100, 2) &amp; CHAR(10) &amp; "["  &amp; ROUND('By site'!BV2*100, 2) &amp; ", " &amp; ROUND('By site'!BW2*100, 2) &amp; "]"</f>
        <v>0.38
[0.31, 0.45]</v>
      </c>
      <c r="P24" t="str">
        <f>ROUND('By site'!BO2*100, 2) &amp; CHAR(10) &amp; "["  &amp; ROUND('By site'!BP2*100, 2) &amp; ", " &amp; ROUND('By site'!BQ2*100, 2) &amp; "]"</f>
        <v>3.77
[3.43, 4.27]</v>
      </c>
      <c r="Q24" t="str">
        <f>ROUND('By site'!BR2*100, 2) &amp; CHAR(10) &amp; "["  &amp; ROUND('By site'!BS2*100, 2) &amp; ", " &amp; ROUND('By site'!BT2*100, 2) &amp; "]"</f>
        <v>0.25
[0.21, 0.29]</v>
      </c>
      <c r="R24" t="str">
        <f>ROUND('By site'!BX2*100, 2) &amp; CHAR(10) &amp; "["  &amp; ROUND('By site'!BY2*100, 2) &amp; ", " &amp; ROUND('By site'!BZ2*100, 2) &amp; "]"</f>
        <v>4.4
[3.99, 4.97]</v>
      </c>
      <c r="T24" t="s">
        <v>146</v>
      </c>
      <c r="U24" s="3" cm="1">
        <f t="array" ref="U24:U42">'By site'!BG2:BG20/'By site'!DL2:DL20</f>
        <v>1.2022884543966468E-2</v>
      </c>
      <c r="V24" s="3" cm="1">
        <f t="array" ref="V24:V42">'By site'!DX2:DX20</f>
        <v>7.3000000000000001E-3</v>
      </c>
      <c r="W24" s="19">
        <f>(U24-V24)/V24</f>
        <v>0.64697048547485869</v>
      </c>
    </row>
    <row r="25" spans="1:23" x14ac:dyDescent="0.2">
      <c r="A25" t="s">
        <v>129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site'!BJ3*100, 2) &amp; " ["  &amp; ROUND('By site'!BM3*100, 2) &amp; ", " &amp; ROUND('By site'!BN3*100, 2) &amp; "]"</f>
        <v>5.29 [5.06, 5.51]</v>
      </c>
      <c r="G25" t="s">
        <v>129</v>
      </c>
      <c r="H25" t="str">
        <f>ROUND('By site'!AX3*100, 2) &amp; CHAR(10) &amp; "["  &amp; ROUND('By site'!AY3*100, 2) &amp; ", " &amp; ROUND('By site'!AZ3*100, 2) &amp; "]"</f>
        <v>0.66
[0.64, 0.68]</v>
      </c>
      <c r="I25" t="str">
        <f>ROUND('By site'!BA3*100, 2) &amp; CHAR(10) &amp; "["  &amp; ROUND('By site'!BB3*100, 2) &amp; ", " &amp; ROUND('By site'!BC3*100, 2) &amp; "]"</f>
        <v>2.24
[2.06, 2.43]</v>
      </c>
      <c r="J25" t="str">
        <f>ROUND('By site'!BD3*100, 2) &amp; CHAR(10) &amp; "["  &amp; ROUND('By site'!BE3*100, 2) &amp; ", " &amp; ROUND('By site'!BF3*100, 2) &amp; "]"</f>
        <v>0
[0, 0]</v>
      </c>
      <c r="K25" t="str">
        <f>ROUND('By site'!BG3*100, 2) &amp; CHAR(10) &amp; "["  &amp; ROUND('By site'!BH3*100, 2) &amp; ", " &amp; ROUND('By site'!BI3*100, 2) &amp; "]"</f>
        <v>2.9
[2.81, 3]</v>
      </c>
      <c r="N25" t="s">
        <v>129</v>
      </c>
      <c r="O25" t="str">
        <f>ROUND('By site'!BU3*100, 2) &amp; CHAR(10) &amp; "["  &amp; ROUND('By site'!BV3*100, 2) &amp; ", " &amp; ROUND('By site'!BW3*100, 2) &amp; "]"</f>
        <v>0.36
[0.3, 0.43]</v>
      </c>
      <c r="P25" t="str">
        <f>ROUND('By site'!BO3*100, 2) &amp; CHAR(10) &amp; "["  &amp; ROUND('By site'!BP3*100, 2) &amp; ", " &amp; ROUND('By site'!BQ3*100, 2) &amp; "]"</f>
        <v>2.02
[1.9, 2.15]</v>
      </c>
      <c r="Q25" t="str">
        <f>ROUND('By site'!BR3*100, 2) &amp; CHAR(10) &amp; "["  &amp; ROUND('By site'!BS3*100, 2) &amp; ", " &amp; ROUND('By site'!BT3*100, 2) &amp; "]"</f>
        <v>0
[0, 0]</v>
      </c>
      <c r="R25" t="str">
        <f>ROUND('By site'!BX3*100, 2) &amp; CHAR(10) &amp; "["  &amp; ROUND('By site'!BY3*100, 2) &amp; ", " &amp; ROUND('By site'!BZ3*100, 2) &amp; "]"</f>
        <v>2.38
[2.19, 2.58]</v>
      </c>
      <c r="T25" t="s">
        <v>129</v>
      </c>
      <c r="U25" s="3">
        <v>7.9478448153540975E-3</v>
      </c>
      <c r="V25" s="3">
        <v>6.4999999999999997E-3</v>
      </c>
      <c r="W25" s="19">
        <f t="shared" ref="W25:W42" si="0">(U25-V25)/V25</f>
        <v>0.22274535620832275</v>
      </c>
    </row>
    <row r="26" spans="1:23" x14ac:dyDescent="0.2">
      <c r="A26" t="s">
        <v>130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site'!BJ4*100, 2) &amp; " ["  &amp; ROUND('By site'!BM4*100, 2) &amp; ", " &amp; ROUND('By site'!BN4*100, 2) &amp; "]"</f>
        <v>2.81 [2.59, 3.05]</v>
      </c>
      <c r="G26" t="s">
        <v>130</v>
      </c>
      <c r="H26" t="str">
        <f>ROUND('By site'!AX4*100, 2) &amp; CHAR(10) &amp; "["  &amp; ROUND('By site'!AY4*100, 2) &amp; ", " &amp; ROUND('By site'!AZ4*100, 2) &amp; "]"</f>
        <v>0.47
[0.44, 0.5]</v>
      </c>
      <c r="I26" t="str">
        <f>ROUND('By site'!BA4*100, 2) &amp; CHAR(10) &amp; "["  &amp; ROUND('By site'!BB4*100, 2) &amp; ", " &amp; ROUND('By site'!BC4*100, 2) &amp; "]"</f>
        <v>0.73
[0.62, 0.84]</v>
      </c>
      <c r="J26" t="str">
        <f>ROUND('By site'!BD4*100, 2) &amp; CHAR(10) &amp; "["  &amp; ROUND('By site'!BE4*100, 2) &amp; ", " &amp; ROUND('By site'!BF4*100, 2) &amp; "]"</f>
        <v>0
[0, 0]</v>
      </c>
      <c r="K26" t="str">
        <f>ROUND('By site'!BG4*100, 2) &amp; CHAR(10) &amp; "["  &amp; ROUND('By site'!BH4*100, 2) &amp; ", " &amp; ROUND('By site'!BI4*100, 2) &amp; "]"</f>
        <v>1.2
[1.13, 1.27]</v>
      </c>
      <c r="N26" t="s">
        <v>130</v>
      </c>
      <c r="O26" t="str">
        <f>ROUND('By site'!BU4*100, 2) &amp; CHAR(10) &amp; "["  &amp; ROUND('By site'!BV4*100, 2) &amp; ", " &amp; ROUND('By site'!BW4*100, 2) &amp; "]"</f>
        <v>0.34
[0.28, 0.41]</v>
      </c>
      <c r="P26" t="str">
        <f>ROUND('By site'!BO4*100, 2) &amp; CHAR(10) &amp; "["  &amp; ROUND('By site'!BP4*100, 2) &amp; ", " &amp; ROUND('By site'!BQ4*100, 2) &amp; "]"</f>
        <v>1.26
[1.12, 1.42]</v>
      </c>
      <c r="Q26" t="str">
        <f>ROUND('By site'!BR4*100, 2) &amp; CHAR(10) &amp; "["  &amp; ROUND('By site'!BS4*100, 2) &amp; ", " &amp; ROUND('By site'!BT4*100, 2) &amp; "]"</f>
        <v>0
[0, 0]</v>
      </c>
      <c r="R26" t="str">
        <f>ROUND('By site'!BX4*100, 2) &amp; CHAR(10) &amp; "["  &amp; ROUND('By site'!BY4*100, 2) &amp; ", " &amp; ROUND('By site'!BZ4*100, 2) &amp; "]"</f>
        <v>1.61
[1.4, 1.83]</v>
      </c>
      <c r="T26" t="s">
        <v>130</v>
      </c>
      <c r="U26" s="3">
        <v>5.671728009808326E-3</v>
      </c>
      <c r="V26" s="3">
        <v>6.0000000000000001E-3</v>
      </c>
      <c r="W26" s="19">
        <f t="shared" si="0"/>
        <v>-5.4711998365279013E-2</v>
      </c>
    </row>
    <row r="27" spans="1:23" x14ac:dyDescent="0.2">
      <c r="A27" t="s">
        <v>132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site'!BJ5*100, 2) &amp; " ["  &amp; ROUND('By site'!BM5*100, 2) &amp; ", " &amp; ROUND('By site'!BN5*100, 2) &amp; "]"</f>
        <v>2.19 [2.05, 2.35]</v>
      </c>
      <c r="G27" t="s">
        <v>132</v>
      </c>
      <c r="H27" t="str">
        <f>ROUND('By site'!AX5*100, 2) &amp; CHAR(10) &amp; "["  &amp; ROUND('By site'!AY5*100, 2) &amp; ", " &amp; ROUND('By site'!AZ5*100, 2) &amp; "]"</f>
        <v>0.47
[0.44, 0.5]</v>
      </c>
      <c r="I27" t="str">
        <f>ROUND('By site'!BA5*100, 2) &amp; CHAR(10) &amp; "["  &amp; ROUND('By site'!BB5*100, 2) &amp; ", " &amp; ROUND('By site'!BC5*100, 2) &amp; "]"</f>
        <v>0.62
[0.5, 0.75]</v>
      </c>
      <c r="J27" t="str">
        <f>ROUND('By site'!BD5*100, 2) &amp; CHAR(10) &amp; "["  &amp; ROUND('By site'!BE5*100, 2) &amp; ", " &amp; ROUND('By site'!BF5*100, 2) &amp; "]"</f>
        <v>0
[0, 0]</v>
      </c>
      <c r="K27" t="str">
        <f>ROUND('By site'!BG5*100, 2) &amp; CHAR(10) &amp; "["  &amp; ROUND('By site'!BH5*100, 2) &amp; ", " &amp; ROUND('By site'!BI5*100, 2) &amp; "]"</f>
        <v>1.09
[1.04, 1.15]</v>
      </c>
      <c r="N27" t="s">
        <v>132</v>
      </c>
      <c r="O27" t="str">
        <f>ROUND('By site'!BU5*100, 2) &amp; CHAR(10) &amp; "["  &amp; ROUND('By site'!BV5*100, 2) &amp; ", " &amp; ROUND('By site'!BW5*100, 2) &amp; "]"</f>
        <v>0.34
[0.28, 0.41]</v>
      </c>
      <c r="P27" t="str">
        <f>ROUND('By site'!BO5*100, 2) &amp; CHAR(10) &amp; "["  &amp; ROUND('By site'!BP5*100, 2) &amp; ", " &amp; ROUND('By site'!BQ5*100, 2) &amp; "]"</f>
        <v>0.76
[0.7, 0.83]</v>
      </c>
      <c r="Q27" t="str">
        <f>ROUND('By site'!BR5*100, 2) &amp; CHAR(10) &amp; "["  &amp; ROUND('By site'!BS5*100, 2) &amp; ", " &amp; ROUND('By site'!BT5*100, 2) &amp; "]"</f>
        <v>0
[0, 0]</v>
      </c>
      <c r="R27" t="str">
        <f>ROUND('By site'!BX5*100, 2) &amp; CHAR(10) &amp; "["  &amp; ROUND('By site'!BY5*100, 2) &amp; ", " &amp; ROUND('By site'!BZ5*100, 2) &amp; "]"</f>
        <v>1.1
[0.98, 1.23]</v>
      </c>
      <c r="T27" t="s">
        <v>132</v>
      </c>
      <c r="U27" s="3">
        <v>5.8452265682899856E-3</v>
      </c>
      <c r="V27" s="3">
        <v>6.0000000000000001E-3</v>
      </c>
      <c r="W27" s="19">
        <f t="shared" si="0"/>
        <v>-2.5795571951669084E-2</v>
      </c>
    </row>
    <row r="28" spans="1:23" x14ac:dyDescent="0.2">
      <c r="A28" t="s">
        <v>131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site'!BJ6*100, 2) &amp; " ["  &amp; ROUND('By site'!BM6*100, 2) &amp; ", " &amp; ROUND('By site'!BN6*100, 2) &amp; "]"</f>
        <v>2.1 [1.94, 2.27]</v>
      </c>
      <c r="G28" t="s">
        <v>131</v>
      </c>
      <c r="H28" t="str">
        <f>ROUND('By site'!AX6*100, 2) &amp; CHAR(10) &amp; "["  &amp; ROUND('By site'!AY6*100, 2) &amp; ", " &amp; ROUND('By site'!AZ6*100, 2) &amp; "]"</f>
        <v>0.49
[0.46, 0.51]</v>
      </c>
      <c r="I28" t="str">
        <f>ROUND('By site'!BA6*100, 2) &amp; CHAR(10) &amp; "["  &amp; ROUND('By site'!BB6*100, 2) &amp; ", " &amp; ROUND('By site'!BC6*100, 2) &amp; "]"</f>
        <v>0.57
[0.44, 0.7]</v>
      </c>
      <c r="J28" t="str">
        <f>ROUND('By site'!BD6*100, 2) &amp; CHAR(10) &amp; "["  &amp; ROUND('By site'!BE6*100, 2) &amp; ", " &amp; ROUND('By site'!BF6*100, 2) &amp; "]"</f>
        <v>0
[0, 0]</v>
      </c>
      <c r="K28" t="str">
        <f>ROUND('By site'!BG6*100, 2) &amp; CHAR(10) &amp; "["  &amp; ROUND('By site'!BH6*100, 2) &amp; ", " &amp; ROUND('By site'!BI6*100, 2) &amp; "]"</f>
        <v>1.05
[0.99, 1.11]</v>
      </c>
      <c r="N28" t="s">
        <v>131</v>
      </c>
      <c r="O28" t="str">
        <f>ROUND('By site'!BU6*100, 2) &amp; CHAR(10) &amp; "["  &amp; ROUND('By site'!BV6*100, 2) &amp; ", " &amp; ROUND('By site'!BW6*100, 2) &amp; "]"</f>
        <v>0.34
[0.28, 0.41]</v>
      </c>
      <c r="P28" t="str">
        <f>ROUND('By site'!BO6*100, 2) &amp; CHAR(10) &amp; "["  &amp; ROUND('By site'!BP6*100, 2) &amp; ", " &amp; ROUND('By site'!BQ6*100, 2) &amp; "]"</f>
        <v>0.71
[0.63, 0.79]</v>
      </c>
      <c r="Q28" t="str">
        <f>ROUND('By site'!BR6*100, 2) &amp; CHAR(10) &amp; "["  &amp; ROUND('By site'!BS6*100, 2) &amp; ", " &amp; ROUND('By site'!BT6*100, 2) &amp; "]"</f>
        <v>0
[0, 0]</v>
      </c>
      <c r="R28" t="str">
        <f>ROUND('By site'!BX6*100, 2) &amp; CHAR(10) &amp; "["  &amp; ROUND('By site'!BY6*100, 2) &amp; ", " &amp; ROUND('By site'!BZ6*100, 2) &amp; "]"</f>
        <v>1.05
[0.91, 1.19]</v>
      </c>
      <c r="T28" t="s">
        <v>131</v>
      </c>
      <c r="U28" s="3">
        <v>5.8952503937614803E-3</v>
      </c>
      <c r="V28" s="3">
        <v>6.0000000000000001E-3</v>
      </c>
      <c r="W28" s="19">
        <f t="shared" si="0"/>
        <v>-1.7458267706419964E-2</v>
      </c>
    </row>
    <row r="29" spans="1:23" x14ac:dyDescent="0.2">
      <c r="A29" t="s">
        <v>133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site'!BJ7*100, 2) &amp; " ["  &amp; ROUND('By site'!BM7*100, 2) &amp; ", " &amp; ROUND('By site'!BN7*100, 2) &amp; "]"</f>
        <v>4.12 [3.53, 4.8]</v>
      </c>
      <c r="G29" t="s">
        <v>133</v>
      </c>
      <c r="H29" t="str">
        <f>ROUND('By site'!AX7*100, 2) &amp; CHAR(10) &amp; "["  &amp; ROUND('By site'!AY7*100, 2) &amp; ", " &amp; ROUND('By site'!AZ7*100, 2) &amp; "]"</f>
        <v>0.97
[0.91, 1.04]</v>
      </c>
      <c r="I29" t="str">
        <f>ROUND('By site'!BA7*100, 2) &amp; CHAR(10) &amp; "["  &amp; ROUND('By site'!BB7*100, 2) &amp; ", " &amp; ROUND('By site'!BC7*100, 2) &amp; "]"</f>
        <v>0.9
[0.48, 1.34]</v>
      </c>
      <c r="J29" t="str">
        <f>ROUND('By site'!BD7*100, 2) &amp; CHAR(10) &amp; "["  &amp; ROUND('By site'!BE7*100, 2) &amp; ", " &amp; ROUND('By site'!BF7*100, 2) &amp; "]"</f>
        <v>0
[0, 0]</v>
      </c>
      <c r="K29" t="str">
        <f>ROUND('By site'!BG7*100, 2) &amp; CHAR(10) &amp; "["  &amp; ROUND('By site'!BH7*100, 2) &amp; ", " &amp; ROUND('By site'!BI7*100, 2) &amp; "]"</f>
        <v>1.87
[1.57, 2.19]</v>
      </c>
      <c r="N29" t="s">
        <v>133</v>
      </c>
      <c r="O29" t="str">
        <f>ROUND('By site'!BU7*100, 2) &amp; CHAR(10) &amp; "["  &amp; ROUND('By site'!BV7*100, 2) &amp; ", " &amp; ROUND('By site'!BW7*100, 2) &amp; "]"</f>
        <v>0.45
[0.37, 0.53]</v>
      </c>
      <c r="P29" t="str">
        <f>ROUND('By site'!BO7*100, 2) &amp; CHAR(10) &amp; "["  &amp; ROUND('By site'!BP7*100, 2) &amp; ", " &amp; ROUND('By site'!BQ7*100, 2) &amp; "]"</f>
        <v>1.8
[1.4, 2.33]</v>
      </c>
      <c r="Q29" t="str">
        <f>ROUND('By site'!BR7*100, 2) &amp; CHAR(10) &amp; "["  &amp; ROUND('By site'!BS7*100, 2) &amp; ", " &amp; ROUND('By site'!BT7*100, 2) &amp; "]"</f>
        <v>0
[0, 0]</v>
      </c>
      <c r="R29" t="str">
        <f>ROUND('By site'!BX7*100, 2) &amp; CHAR(10) &amp; "["  &amp; ROUND('By site'!BY7*100, 2) &amp; ", " &amp; ROUND('By site'!BZ7*100, 2) &amp; "]"</f>
        <v>2.25
[1.77, 2.86]</v>
      </c>
      <c r="T29" t="s">
        <v>133</v>
      </c>
      <c r="U29" s="3">
        <v>9.8342156994633313E-3</v>
      </c>
      <c r="V29" s="3">
        <v>5.1200000000000002E-2</v>
      </c>
      <c r="W29" s="19">
        <f t="shared" si="0"/>
        <v>-0.80792547461985675</v>
      </c>
    </row>
    <row r="30" spans="1:23" x14ac:dyDescent="0.2">
      <c r="A30" t="s">
        <v>134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site'!BJ8*100, 2) &amp; " ["  &amp; ROUND('By site'!BM8*100, 2) &amp; ", " &amp; ROUND('By site'!BN8*100, 2) &amp; "]"</f>
        <v>5.56 [4.95, 6.27]</v>
      </c>
      <c r="G30" t="s">
        <v>134</v>
      </c>
      <c r="H30" t="str">
        <f>ROUND('By site'!AX8*100, 2) &amp; CHAR(10) &amp; "["  &amp; ROUND('By site'!AY8*100, 2) &amp; ", " &amp; ROUND('By site'!AZ8*100, 2) &amp; "]"</f>
        <v>0.94
[0.87, 1]</v>
      </c>
      <c r="I30" t="str">
        <f>ROUND('By site'!BA8*100, 2) &amp; CHAR(10) &amp; "["  &amp; ROUND('By site'!BB8*100, 2) &amp; ", " &amp; ROUND('By site'!BC8*100, 2) &amp; "]"</f>
        <v>1.57
[1, 2.19]</v>
      </c>
      <c r="J30" t="str">
        <f>ROUND('By site'!BD8*100, 2) &amp; CHAR(10) &amp; "["  &amp; ROUND('By site'!BE8*100, 2) &amp; ", " &amp; ROUND('By site'!BF8*100, 2) &amp; "]"</f>
        <v>0
[0, 0]</v>
      </c>
      <c r="K30" t="str">
        <f>ROUND('By site'!BG8*100, 2) &amp; CHAR(10) &amp; "["  &amp; ROUND('By site'!BH8*100, 2) &amp; ", " &amp; ROUND('By site'!BI8*100, 2) &amp; "]"</f>
        <v>2.51
[2.25, 2.79]</v>
      </c>
      <c r="N30" t="s">
        <v>134</v>
      </c>
      <c r="O30" t="str">
        <f>ROUND('By site'!BU8*100, 2) &amp; CHAR(10) &amp; "["  &amp; ROUND('By site'!BV8*100, 2) &amp; ", " &amp; ROUND('By site'!BW8*100, 2) &amp; "]"</f>
        <v>0.44
[0.36, 0.52]</v>
      </c>
      <c r="P30" t="str">
        <f>ROUND('By site'!BO8*100, 2) &amp; CHAR(10) &amp; "["  &amp; ROUND('By site'!BP8*100, 2) &amp; ", " &amp; ROUND('By site'!BQ8*100, 2) &amp; "]"</f>
        <v>2.62
[2.19, 3.15]</v>
      </c>
      <c r="Q30" t="str">
        <f>ROUND('By site'!BR8*100, 2) &amp; CHAR(10) &amp; "["  &amp; ROUND('By site'!BS8*100, 2) &amp; ", " &amp; ROUND('By site'!BT8*100, 2) &amp; "]"</f>
        <v>0
[0, 0]</v>
      </c>
      <c r="R30" t="str">
        <f>ROUND('By site'!BX8*100, 2) &amp; CHAR(10) &amp; "["  &amp; ROUND('By site'!BY8*100, 2) &amp; ", " &amp; ROUND('By site'!BZ8*100, 2) &amp; "]"</f>
        <v>3.05
[2.55, 3.67]</v>
      </c>
      <c r="T30" t="s">
        <v>134</v>
      </c>
      <c r="U30" s="3">
        <v>9.5669727188886049E-3</v>
      </c>
      <c r="V30" s="3">
        <v>4.8500000000000001E-2</v>
      </c>
      <c r="W30" s="19">
        <f t="shared" si="0"/>
        <v>-0.80274283053837925</v>
      </c>
    </row>
    <row r="31" spans="1:23" x14ac:dyDescent="0.2">
      <c r="A31" t="s">
        <v>136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site'!BJ9*100, 2) &amp; " ["  &amp; ROUND('By site'!BM9*100, 2) &amp; ", " &amp; ROUND('By site'!BN9*100, 2) &amp; "]"</f>
        <v>4.63 [4.13, 5.22]</v>
      </c>
      <c r="G31" t="s">
        <v>136</v>
      </c>
      <c r="H31" t="str">
        <f>ROUND('By site'!AX9*100, 2) &amp; CHAR(10) &amp; "["  &amp; ROUND('By site'!AY9*100, 2) &amp; ", " &amp; ROUND('By site'!AZ9*100, 2) &amp; "]"</f>
        <v>0.78
[0.73, 0.85]</v>
      </c>
      <c r="I31" t="str">
        <f>ROUND('By site'!BA9*100, 2) &amp; CHAR(10) &amp; "["  &amp; ROUND('By site'!BB9*100, 2) &amp; ", " &amp; ROUND('By site'!BC9*100, 2) &amp; "]"</f>
        <v>1.66
[0.87, 2.61]</v>
      </c>
      <c r="J31" t="str">
        <f>ROUND('By site'!BD9*100, 2) &amp; CHAR(10) &amp; "["  &amp; ROUND('By site'!BE9*100, 2) &amp; ", " &amp; ROUND('By site'!BF9*100, 2) &amp; "]"</f>
        <v>0
[0, 0]</v>
      </c>
      <c r="K31" t="str">
        <f>ROUND('By site'!BG9*100, 2) &amp; CHAR(10) &amp; "["  &amp; ROUND('By site'!BH9*100, 2) &amp; ", " &amp; ROUND('By site'!BI9*100, 2) &amp; "]"</f>
        <v>2.44
[2.15, 2.79]</v>
      </c>
      <c r="N31" t="s">
        <v>136</v>
      </c>
      <c r="O31" t="str">
        <f>ROUND('By site'!BU9*100, 2) &amp; CHAR(10) &amp; "["  &amp; ROUND('By site'!BV9*100, 2) &amp; ", " &amp; ROUND('By site'!BW9*100, 2) &amp; "]"</f>
        <v>0.38
[0.31, 0.44]</v>
      </c>
      <c r="P31" t="str">
        <f>ROUND('By site'!BO9*100, 2) &amp; CHAR(10) &amp; "["  &amp; ROUND('By site'!BP9*100, 2) &amp; ", " &amp; ROUND('By site'!BQ9*100, 2) &amp; "]"</f>
        <v>1.81
[1.52, 2.22]</v>
      </c>
      <c r="Q31" t="str">
        <f>ROUND('By site'!BR9*100, 2) &amp; CHAR(10) &amp; "["  &amp; ROUND('By site'!BS9*100, 2) &amp; ", " &amp; ROUND('By site'!BT9*100, 2) &amp; "]"</f>
        <v>0
[0, 0]</v>
      </c>
      <c r="R31" t="str">
        <f>ROUND('By site'!BX9*100, 2) &amp; CHAR(10) &amp; "["  &amp; ROUND('By site'!BY9*100, 2) &amp; ", " &amp; ROUND('By site'!BZ9*100, 2) &amp; "]"</f>
        <v>2.19
[1.83, 2.66]</v>
      </c>
      <c r="T31" t="s">
        <v>136</v>
      </c>
      <c r="U31" s="3">
        <v>7.9676906664400641E-3</v>
      </c>
      <c r="V31" s="3">
        <v>5.6500000000000002E-2</v>
      </c>
      <c r="W31" s="19">
        <f t="shared" si="0"/>
        <v>-0.85897892625769801</v>
      </c>
    </row>
    <row r="32" spans="1:23" x14ac:dyDescent="0.2">
      <c r="A32" t="s">
        <v>135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site'!BJ10*100, 2) &amp; " ["  &amp; ROUND('By site'!BM10*100, 2) &amp; ", " &amp; ROUND('By site'!BN10*100, 2) &amp; "]"</f>
        <v>3.74 [3.21, 4.35]</v>
      </c>
      <c r="G32" t="s">
        <v>135</v>
      </c>
      <c r="H32" t="str">
        <f>ROUND('By site'!AX10*100, 2) &amp; CHAR(10) &amp; "["  &amp; ROUND('By site'!AY10*100, 2) &amp; ", " &amp; ROUND('By site'!AZ10*100, 2) &amp; "]"</f>
        <v>0.77
[0.71, 0.83]</v>
      </c>
      <c r="I32" t="str">
        <f>ROUND('By site'!BA10*100, 2) &amp; CHAR(10) &amp; "["  &amp; ROUND('By site'!BB10*100, 2) &amp; ", " &amp; ROUND('By site'!BC10*100, 2) &amp; "]"</f>
        <v>1.05
[0.36, 2.04]</v>
      </c>
      <c r="J32" t="str">
        <f>ROUND('By site'!BD10*100, 2) &amp; CHAR(10) &amp; "["  &amp; ROUND('By site'!BE10*100, 2) &amp; ", " &amp; ROUND('By site'!BF10*100, 2) &amp; "]"</f>
        <v>0
[0, 0]</v>
      </c>
      <c r="K32" t="str">
        <f>ROUND('By site'!BG10*100, 2) &amp; CHAR(10) &amp; "["  &amp; ROUND('By site'!BH10*100, 2) &amp; ", " &amp; ROUND('By site'!BI10*100, 2) &amp; "]"</f>
        <v>1.82
[1.56, 2.19]</v>
      </c>
      <c r="N32" t="s">
        <v>135</v>
      </c>
      <c r="O32" t="str">
        <f>ROUND('By site'!BU10*100, 2) &amp; CHAR(10) &amp; "["  &amp; ROUND('By site'!BV10*100, 2) &amp; ", " &amp; ROUND('By site'!BW10*100, 2) &amp; "]"</f>
        <v>0.38
[0.31, 0.44]</v>
      </c>
      <c r="P32" t="str">
        <f>ROUND('By site'!BO10*100, 2) &amp; CHAR(10) &amp; "["  &amp; ROUND('By site'!BP10*100, 2) &amp; ", " &amp; ROUND('By site'!BQ10*100, 2) &amp; "]"</f>
        <v>1.55
[1.21, 2.02]</v>
      </c>
      <c r="Q32" t="str">
        <f>ROUND('By site'!BR10*100, 2) &amp; CHAR(10) &amp; "["  &amp; ROUND('By site'!BS10*100, 2) &amp; ", " &amp; ROUND('By site'!BT10*100, 2) &amp; "]"</f>
        <v>0
[0, 0]</v>
      </c>
      <c r="R32" t="str">
        <f>ROUND('By site'!BX10*100, 2) &amp; CHAR(10) &amp; "["  &amp; ROUND('By site'!BY10*100, 2) &amp; ", " &amp; ROUND('By site'!BZ10*100, 2) &amp; "]"</f>
        <v>1.92
[1.52, 2.46]</v>
      </c>
      <c r="T32" t="s">
        <v>135</v>
      </c>
      <c r="U32" s="3">
        <v>7.8249988704067984E-3</v>
      </c>
      <c r="V32" s="3">
        <v>5.6500000000000002E-2</v>
      </c>
      <c r="W32" s="19">
        <f t="shared" si="0"/>
        <v>-0.86150444477156118</v>
      </c>
    </row>
    <row r="33" spans="1:23" x14ac:dyDescent="0.2">
      <c r="A33" t="s">
        <v>137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site'!BJ11*100, 2) &amp; " ["  &amp; ROUND('By site'!BM11*100, 2) &amp; ", " &amp; ROUND('By site'!BN11*100, 2) &amp; "]"</f>
        <v>2.54 [2.21, 2.9]</v>
      </c>
      <c r="G33" t="s">
        <v>137</v>
      </c>
      <c r="H33" t="str">
        <f>ROUND('By site'!AX11*100, 2) &amp; CHAR(10) &amp; "["  &amp; ROUND('By site'!AY11*100, 2) &amp; ", " &amp; ROUND('By site'!AZ11*100, 2) &amp; "]"</f>
        <v>0.87
[0.81, 0.93]</v>
      </c>
      <c r="I33" t="str">
        <f>ROUND('By site'!BA11*100, 2) &amp; CHAR(10) &amp; "["  &amp; ROUND('By site'!BB11*100, 2) &amp; ", " &amp; ROUND('By site'!BC11*100, 2) &amp; "]"</f>
        <v>0.89
[0.44, 1.42]</v>
      </c>
      <c r="J33" t="str">
        <f>ROUND('By site'!BD11*100, 2) &amp; CHAR(10) &amp; "["  &amp; ROUND('By site'!BE11*100, 2) &amp; ", " &amp; ROUND('By site'!BF11*100, 2) &amp; "]"</f>
        <v>0
[0, 0]</v>
      </c>
      <c r="K33" t="str">
        <f>ROUND('By site'!BG11*100, 2) &amp; CHAR(10) &amp; "["  &amp; ROUND('By site'!BH11*100, 2) &amp; ", " &amp; ROUND('By site'!BI11*100, 2) &amp; "]"</f>
        <v>1.76
[1.53, 2.04]</v>
      </c>
      <c r="N33" t="s">
        <v>137</v>
      </c>
      <c r="O33" t="str">
        <f>ROUND('By site'!BU11*100, 2) &amp; CHAR(10) &amp; "["  &amp; ROUND('By site'!BV11*100, 2) &amp; ", " &amp; ROUND('By site'!BW11*100, 2) &amp; "]"</f>
        <v>0.38
[0.31, 0.44]</v>
      </c>
      <c r="P33" t="str">
        <f>ROUND('By site'!BO11*100, 2) &amp; CHAR(10) &amp; "["  &amp; ROUND('By site'!BP11*100, 2) &amp; ", " &amp; ROUND('By site'!BQ11*100, 2) &amp; "]"</f>
        <v>0.4
[0.28, 0.54]</v>
      </c>
      <c r="Q33" t="str">
        <f>ROUND('By site'!BR11*100, 2) &amp; CHAR(10) &amp; "["  &amp; ROUND('By site'!BS11*100, 2) &amp; ", " &amp; ROUND('By site'!BT11*100, 2) &amp; "]"</f>
        <v>0
[0, 0]</v>
      </c>
      <c r="R33" t="str">
        <f>ROUND('By site'!BX11*100, 2) &amp; CHAR(10) &amp; "["  &amp; ROUND('By site'!BY11*100, 2) &amp; ", " &amp; ROUND('By site'!BZ11*100, 2) &amp; "]"</f>
        <v>0.78
[0.59, 0.98]</v>
      </c>
      <c r="T33" t="s">
        <v>137</v>
      </c>
      <c r="U33" s="3">
        <v>9.0829386240186254E-3</v>
      </c>
      <c r="V33" s="3">
        <v>5.6500000000000002E-2</v>
      </c>
      <c r="W33" s="19">
        <f t="shared" si="0"/>
        <v>-0.83924002435365264</v>
      </c>
    </row>
    <row r="34" spans="1:23" x14ac:dyDescent="0.2">
      <c r="A34" t="s">
        <v>138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site'!BJ12*100, 2) &amp; " ["  &amp; ROUND('By site'!BM12*100, 2) &amp; ", " &amp; ROUND('By site'!BN12*100, 2) &amp; "]"</f>
        <v>1.08 [0.98, 1.18]</v>
      </c>
      <c r="G34" t="s">
        <v>138</v>
      </c>
      <c r="H34" t="str">
        <f>ROUND('By site'!AX12*100, 2) &amp; CHAR(10) &amp; "["  &amp; ROUND('By site'!AY12*100, 2) &amp; ", " &amp; ROUND('By site'!AZ12*100, 2) &amp; "]"</f>
        <v>0.61
[0.58, 0.64]</v>
      </c>
      <c r="I34" t="str">
        <f>ROUND('By site'!BA12*100, 2) &amp; CHAR(10) &amp; "["  &amp; ROUND('By site'!BB12*100, 2) &amp; ", " &amp; ROUND('By site'!BC12*100, 2) &amp; "]"</f>
        <v>0.12
[0.04, 0.2]</v>
      </c>
      <c r="J34" t="str">
        <f>ROUND('By site'!BD12*100, 2) &amp; CHAR(10) &amp; "["  &amp; ROUND('By site'!BE12*100, 2) &amp; ", " &amp; ROUND('By site'!BF12*100, 2) &amp; "]"</f>
        <v>0
[0, 0]</v>
      </c>
      <c r="K34" t="str">
        <f>ROUND('By site'!BG12*100, 2) &amp; CHAR(10) &amp; "["  &amp; ROUND('By site'!BH12*100, 2) &amp; ", " &amp; ROUND('By site'!BI12*100, 2) &amp; "]"</f>
        <v>0.73
[0.69, 0.77]</v>
      </c>
      <c r="N34" t="s">
        <v>138</v>
      </c>
      <c r="O34" t="str">
        <f>ROUND('By site'!BU12*100, 2) &amp; CHAR(10) &amp; "["  &amp; ROUND('By site'!BV12*100, 2) &amp; ", " &amp; ROUND('By site'!BW12*100, 2) &amp; "]"</f>
        <v>0.31
[0.26, 0.37]</v>
      </c>
      <c r="P34" t="str">
        <f>ROUND('By site'!BO12*100, 2) &amp; CHAR(10) &amp; "["  &amp; ROUND('By site'!BP12*100, 2) &amp; ", " &amp; ROUND('By site'!BQ12*100, 2) &amp; "]"</f>
        <v>0.04
[0.02, 0.05]</v>
      </c>
      <c r="Q34" t="str">
        <f>ROUND('By site'!BR12*100, 2) &amp; CHAR(10) &amp; "["  &amp; ROUND('By site'!BS12*100, 2) &amp; ", " &amp; ROUND('By site'!BT12*100, 2) &amp; "]"</f>
        <v>0
[0, 0]</v>
      </c>
      <c r="R34" t="str">
        <f>ROUND('By site'!BX12*100, 2) &amp; CHAR(10) &amp; "["  &amp; ROUND('By site'!BY12*100, 2) &amp; ", " &amp; ROUND('By site'!BZ12*100, 2) &amp; "]"</f>
        <v>0.35
[0.28, 0.42]</v>
      </c>
      <c r="T34" t="s">
        <v>138</v>
      </c>
      <c r="U34" s="3">
        <v>6.2683616753719798E-3</v>
      </c>
      <c r="V34" s="3">
        <v>5.4000000000000003E-3</v>
      </c>
      <c r="W34" s="19">
        <f t="shared" si="0"/>
        <v>0.16080771766147767</v>
      </c>
    </row>
    <row r="35" spans="1:23" x14ac:dyDescent="0.2">
      <c r="A35" t="s">
        <v>139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site'!BJ13*100, 2) &amp; " ["  &amp; ROUND('By site'!BM13*100, 2) &amp; ", " &amp; ROUND('By site'!BN13*100, 2) &amp; "]"</f>
        <v>1.17 [1.05, 1.33]</v>
      </c>
      <c r="G35" t="s">
        <v>139</v>
      </c>
      <c r="H35" t="str">
        <f>ROUND('By site'!AX13*100, 2) &amp; CHAR(10) &amp; "["  &amp; ROUND('By site'!AY13*100, 2) &amp; ", " &amp; ROUND('By site'!AZ13*100, 2) &amp; "]"</f>
        <v>0.62
[0.59, 0.66]</v>
      </c>
      <c r="I35" t="str">
        <f>ROUND('By site'!BA13*100, 2) &amp; CHAR(10) &amp; "["  &amp; ROUND('By site'!BB13*100, 2) &amp; ", " &amp; ROUND('By site'!BC13*100, 2) &amp; "]"</f>
        <v>0.12
[0.03, 0.22]</v>
      </c>
      <c r="J35" t="str">
        <f>ROUND('By site'!BD13*100, 2) &amp; CHAR(10) &amp; "["  &amp; ROUND('By site'!BE13*100, 2) &amp; ", " &amp; ROUND('By site'!BF13*100, 2) &amp; "]"</f>
        <v>0
[0, 0]</v>
      </c>
      <c r="K35" t="str">
        <f>ROUND('By site'!BG13*100, 2) &amp; CHAR(10) &amp; "["  &amp; ROUND('By site'!BH13*100, 2) &amp; ", " &amp; ROUND('By site'!BI13*100, 2) &amp; "]"</f>
        <v>0.74
[0.7, 0.79]</v>
      </c>
      <c r="N35" t="s">
        <v>139</v>
      </c>
      <c r="O35" t="str">
        <f>ROUND('By site'!BU13*100, 2) &amp; CHAR(10) &amp; "["  &amp; ROUND('By site'!BV13*100, 2) &amp; ", " &amp; ROUND('By site'!BW13*100, 2) &amp; "]"</f>
        <v>0.31
[0.26, 0.37]</v>
      </c>
      <c r="P35" t="str">
        <f>ROUND('By site'!BO13*100, 2) &amp; CHAR(10) &amp; "["  &amp; ROUND('By site'!BP13*100, 2) &amp; ", " &amp; ROUND('By site'!BQ13*100, 2) &amp; "]"</f>
        <v>0.12
[0.08, 0.21]</v>
      </c>
      <c r="Q35" t="str">
        <f>ROUND('By site'!BR13*100, 2) &amp; CHAR(10) &amp; "["  &amp; ROUND('By site'!BS13*100, 2) &amp; ", " &amp; ROUND('By site'!BT13*100, 2) &amp; "]"</f>
        <v>0
[0, 0]</v>
      </c>
      <c r="R35" t="str">
        <f>ROUND('By site'!BX13*100, 2) &amp; CHAR(10) &amp; "["  &amp; ROUND('By site'!BY13*100, 2) &amp; ", " &amp; ROUND('By site'!BZ13*100, 2) &amp; "]"</f>
        <v>0.43
[0.34, 0.58]</v>
      </c>
      <c r="T35" t="s">
        <v>139</v>
      </c>
      <c r="U35" s="3">
        <v>6.4141471136245527E-3</v>
      </c>
      <c r="V35" s="3">
        <v>5.4000000000000003E-3</v>
      </c>
      <c r="W35" s="19">
        <f t="shared" si="0"/>
        <v>0.18780502104158378</v>
      </c>
    </row>
    <row r="36" spans="1:23" x14ac:dyDescent="0.2">
      <c r="A36" t="s">
        <v>140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site'!BJ14*100, 2) &amp; " ["  &amp; ROUND('By site'!BM14*100, 2) &amp; ", " &amp; ROUND('By site'!BN14*100, 2) &amp; "]"</f>
        <v>0.75 [0.65, 0.84]</v>
      </c>
      <c r="G36" t="s">
        <v>140</v>
      </c>
      <c r="H36" t="str">
        <f>ROUND('By site'!AX14*100, 2) &amp; CHAR(10) &amp; "["  &amp; ROUND('By site'!AY14*100, 2) &amp; ", " &amp; ROUND('By site'!AZ14*100, 2) &amp; "]"</f>
        <v>0.12
[0.11, 0.12]</v>
      </c>
      <c r="I36" t="str">
        <f>ROUND('By site'!BA14*100, 2) &amp; CHAR(10) &amp; "["  &amp; ROUND('By site'!BB14*100, 2) &amp; ", " &amp; ROUND('By site'!BC14*100, 2) &amp; "]"</f>
        <v>0.38
[0.3, 0.46]</v>
      </c>
      <c r="J36" t="str">
        <f>ROUND('By site'!BD14*100, 2) &amp; CHAR(10) &amp; "["  &amp; ROUND('By site'!BE14*100, 2) &amp; ", " &amp; ROUND('By site'!BF14*100, 2) &amp; "]"</f>
        <v>0
[0, 0]</v>
      </c>
      <c r="K36" t="str">
        <f>ROUND('By site'!BG14*100, 2) &amp; CHAR(10) &amp; "["  &amp; ROUND('By site'!BH14*100, 2) &amp; ", " &amp; ROUND('By site'!BI14*100, 2) &amp; "]"</f>
        <v>0.49
[0.44, 0.55]</v>
      </c>
      <c r="N36" t="s">
        <v>140</v>
      </c>
      <c r="O36" t="str">
        <f>ROUND('By site'!BU14*100, 2) &amp; CHAR(10) &amp; "["  &amp; ROUND('By site'!BV14*100, 2) &amp; ", " &amp; ROUND('By site'!BW14*100, 2) &amp; "]"</f>
        <v>0.18
[0.15, 0.21]</v>
      </c>
      <c r="P36" t="str">
        <f>ROUND('By site'!BO14*100, 2) &amp; CHAR(10) &amp; "["  &amp; ROUND('By site'!BP14*100, 2) &amp; ", " &amp; ROUND('By site'!BQ14*100, 2) &amp; "]"</f>
        <v>0.08
[0.06, 0.1]</v>
      </c>
      <c r="Q36" t="str">
        <f>ROUND('By site'!BR14*100, 2) &amp; CHAR(10) &amp; "["  &amp; ROUND('By site'!BS14*100, 2) &amp; ", " &amp; ROUND('By site'!BT14*100, 2) &amp; "]"</f>
        <v>0
[0, 0]</v>
      </c>
      <c r="R36" t="str">
        <f>ROUND('By site'!BX14*100, 2) &amp; CHAR(10) &amp; "["  &amp; ROUND('By site'!BY14*100, 2) &amp; ", " &amp; ROUND('By site'!BZ14*100, 2) &amp; "]"</f>
        <v>0.25
[0.2, 0.31]</v>
      </c>
      <c r="T36" t="s">
        <v>140</v>
      </c>
      <c r="U36" s="3">
        <v>1.1678710577139601E-3</v>
      </c>
      <c r="V36" s="3">
        <v>3.0999999999999999E-3</v>
      </c>
      <c r="W36" s="19">
        <f t="shared" si="0"/>
        <v>-0.62326740073743225</v>
      </c>
    </row>
    <row r="37" spans="1:23" x14ac:dyDescent="0.2">
      <c r="A37" t="s">
        <v>128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site'!BJ15*100, 2) &amp; " ["  &amp; ROUND('By site'!BM15*100, 2) &amp; ", " &amp; ROUND('By site'!BN15*100, 2) &amp; "]"</f>
        <v>5.73 [5.26, 6.19]</v>
      </c>
      <c r="G37" t="s">
        <v>128</v>
      </c>
      <c r="H37" t="str">
        <f>ROUND('By site'!AX15*100, 2) &amp; CHAR(10) &amp; "["  &amp; ROUND('By site'!AY15*100, 2) &amp; ", " &amp; ROUND('By site'!AZ15*100, 2) &amp; "]"</f>
        <v>3.01
[2.87, 3.15]</v>
      </c>
      <c r="I37" t="str">
        <f>ROUND('By site'!BA15*100, 2) &amp; CHAR(10) &amp; "["  &amp; ROUND('By site'!BB15*100, 2) &amp; ", " &amp; ROUND('By site'!BC15*100, 2) &amp; "]"</f>
        <v>1.67
[1.07, 2.3]</v>
      </c>
      <c r="J37" t="str">
        <f>ROUND('By site'!BD15*100, 2) &amp; CHAR(10) &amp; "["  &amp; ROUND('By site'!BE15*100, 2) &amp; ", " &amp; ROUND('By site'!BF15*100, 2) &amp; "]"</f>
        <v>0
[0, 0]</v>
      </c>
      <c r="K37" t="str">
        <f>ROUND('By site'!BG15*100, 2) &amp; CHAR(10) &amp; "["  &amp; ROUND('By site'!BH15*100, 2) &amp; ", " &amp; ROUND('By site'!BI15*100, 2) &amp; "]"</f>
        <v>4.68
[4.35, 5.01]</v>
      </c>
      <c r="N37" t="s">
        <v>128</v>
      </c>
      <c r="O37" t="str">
        <f>ROUND('By site'!BU15*100, 2) &amp; CHAR(10) &amp; "["  &amp; ROUND('By site'!BV15*100, 2) &amp; ", " &amp; ROUND('By site'!BW15*100, 2) &amp; "]"</f>
        <v>0.38
[0.31, 0.44]</v>
      </c>
      <c r="P37" t="str">
        <f>ROUND('By site'!BO15*100, 2) &amp; CHAR(10) &amp; "["  &amp; ROUND('By site'!BP15*100, 2) &amp; ", " &amp; ROUND('By site'!BQ15*100, 2) &amp; "]"</f>
        <v>0.68
[0.5, 0.92]</v>
      </c>
      <c r="Q37" t="str">
        <f>ROUND('By site'!BR15*100, 2) &amp; CHAR(10) &amp; "["  &amp; ROUND('By site'!BS15*100, 2) &amp; ", " &amp; ROUND('By site'!BT15*100, 2) &amp; "]"</f>
        <v>0
[0, 0]</v>
      </c>
      <c r="R37" t="str">
        <f>ROUND('By site'!BX15*100, 2) &amp; CHAR(10) &amp; "["  &amp; ROUND('By site'!BY15*100, 2) &amp; ", " &amp; ROUND('By site'!BZ15*100, 2) &amp; "]"</f>
        <v>1.05
[0.81, 1.36]</v>
      </c>
      <c r="T37" t="s">
        <v>128</v>
      </c>
      <c r="U37" s="3">
        <v>3.1712339950908879E-2</v>
      </c>
      <c r="V37" s="3">
        <v>1.89E-2</v>
      </c>
      <c r="W37" s="19">
        <f t="shared" si="0"/>
        <v>0.6779015847041735</v>
      </c>
    </row>
    <row r="38" spans="1:23" x14ac:dyDescent="0.2">
      <c r="A38" t="s">
        <v>141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site'!BJ16*100, 2) &amp; " ["  &amp; ROUND('By site'!BM16*100, 2) &amp; ", " &amp; ROUND('By site'!BN16*100, 2) &amp; "]"</f>
        <v>4.04 [3.63, 4.5]</v>
      </c>
      <c r="G38" t="s">
        <v>141</v>
      </c>
      <c r="H38" t="str">
        <f>ROUND('By site'!AX16*100, 2) &amp; CHAR(10) &amp; "["  &amp; ROUND('By site'!AY16*100, 2) &amp; ", " &amp; ROUND('By site'!AZ16*100, 2) &amp; "]"</f>
        <v>0.55
[0.5, 0.6]</v>
      </c>
      <c r="I38" t="str">
        <f>ROUND('By site'!BA16*100, 2) &amp; CHAR(10) &amp; "["  &amp; ROUND('By site'!BB16*100, 2) &amp; ", " &amp; ROUND('By site'!BC16*100, 2) &amp; "]"</f>
        <v>2.38
[1.94, 2.88]</v>
      </c>
      <c r="J38" t="str">
        <f>ROUND('By site'!BD16*100, 2) &amp; CHAR(10) &amp; "["  &amp; ROUND('By site'!BE16*100, 2) &amp; ", " &amp; ROUND('By site'!BF16*100, 2) &amp; "]"</f>
        <v>0.12
[0.07, 0.19]</v>
      </c>
      <c r="K38" t="str">
        <f>ROUND('By site'!BG16*100, 2) &amp; CHAR(10) &amp; "["  &amp; ROUND('By site'!BH16*100, 2) &amp; ", " &amp; ROUND('By site'!BI16*100, 2) &amp; "]"</f>
        <v>3.05
[2.7, 3.43]</v>
      </c>
      <c r="N38" t="s">
        <v>141</v>
      </c>
      <c r="O38" t="str">
        <f>ROUND('By site'!BU16*100, 2) &amp; CHAR(10) &amp; "["  &amp; ROUND('By site'!BV16*100, 2) &amp; ", " &amp; ROUND('By site'!BW16*100, 2) &amp; "]"</f>
        <v>0.34
[0.28, 0.41]</v>
      </c>
      <c r="P38" t="str">
        <f>ROUND('By site'!BO16*100, 2) &amp; CHAR(10) &amp; "["  &amp; ROUND('By site'!BP16*100, 2) &amp; ", " &amp; ROUND('By site'!BQ16*100, 2) &amp; "]"</f>
        <v>0.4
[0.33, 0.48]</v>
      </c>
      <c r="Q38" t="str">
        <f>ROUND('By site'!BR16*100, 2) &amp; CHAR(10) &amp; "["  &amp; ROUND('By site'!BS16*100, 2) &amp; ", " &amp; ROUND('By site'!BT16*100, 2) &amp; "]"</f>
        <v>0.25
[0.2, 0.31]</v>
      </c>
      <c r="R38" t="str">
        <f>ROUND('By site'!BX16*100, 2) &amp; CHAR(10) &amp; "["  &amp; ROUND('By site'!BY16*100, 2) &amp; ", " &amp; ROUND('By site'!BZ16*100, 2) &amp; "]"</f>
        <v>1
[0.84, 1.16]</v>
      </c>
      <c r="T38" t="s">
        <v>141</v>
      </c>
      <c r="U38" s="3">
        <v>5.5602902216306581E-3</v>
      </c>
      <c r="V38" s="3">
        <v>6.0000000000000001E-3</v>
      </c>
      <c r="W38" s="19">
        <f t="shared" si="0"/>
        <v>-7.3284963061557004E-2</v>
      </c>
    </row>
    <row r="39" spans="1:23" x14ac:dyDescent="0.2">
      <c r="A39" t="s">
        <v>142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site'!BJ17*100, 2) &amp; " ["  &amp; ROUND('By site'!BM17*100, 2) &amp; ", " &amp; ROUND('By site'!BN17*100, 2) &amp; "]"</f>
        <v>4.61 [4.36, 4.88]</v>
      </c>
      <c r="G39" t="s">
        <v>142</v>
      </c>
      <c r="H39" t="str">
        <f>ROUND('By site'!AX17*100, 2) &amp; CHAR(10) &amp; "["  &amp; ROUND('By site'!AY17*100, 2) &amp; ", " &amp; ROUND('By site'!AZ17*100, 2) &amp; "]"</f>
        <v>0.47
[0.44, 0.5]</v>
      </c>
      <c r="I39" t="str">
        <f>ROUND('By site'!BA17*100, 2) &amp; CHAR(10) &amp; "["  &amp; ROUND('By site'!BB17*100, 2) &amp; ", " &amp; ROUND('By site'!BC17*100, 2) &amp; "]"</f>
        <v>2.19
[1.89, 2.55]</v>
      </c>
      <c r="J39" t="str">
        <f>ROUND('By site'!BD17*100, 2) &amp; CHAR(10) &amp; "["  &amp; ROUND('By site'!BE17*100, 2) &amp; ", " &amp; ROUND('By site'!BF17*100, 2) &amp; "]"</f>
        <v>0
[0, 0]</v>
      </c>
      <c r="K39" t="str">
        <f>ROUND('By site'!BG17*100, 2) &amp; CHAR(10) &amp; "["  &amp; ROUND('By site'!BH17*100, 2) &amp; ", " &amp; ROUND('By site'!BI17*100, 2) &amp; "]"</f>
        <v>2.66
[2.56, 2.78]</v>
      </c>
      <c r="N39" t="s">
        <v>142</v>
      </c>
      <c r="O39" t="str">
        <f>ROUND('By site'!BU17*100, 2) &amp; CHAR(10) &amp; "["  &amp; ROUND('By site'!BV17*100, 2) &amp; ", " &amp; ROUND('By site'!BW17*100, 2) &amp; "]"</f>
        <v>0.36
[0.3, 0.43]</v>
      </c>
      <c r="P39" t="str">
        <f>ROUND('By site'!BO17*100, 2) &amp; CHAR(10) &amp; "["  &amp; ROUND('By site'!BP17*100, 2) &amp; ", " &amp; ROUND('By site'!BQ17*100, 2) &amp; "]"</f>
        <v>1.59
[1.45, 1.76]</v>
      </c>
      <c r="Q39" t="str">
        <f>ROUND('By site'!BR17*100, 2) &amp; CHAR(10) &amp; "["  &amp; ROUND('By site'!BS17*100, 2) &amp; ", " &amp; ROUND('By site'!BT17*100, 2) &amp; "]"</f>
        <v>0
[0, 0]</v>
      </c>
      <c r="R39" t="str">
        <f>ROUND('By site'!BX17*100, 2) &amp; CHAR(10) &amp; "["  &amp; ROUND('By site'!BY17*100, 2) &amp; ", " &amp; ROUND('By site'!BZ17*100, 2) &amp; "]"</f>
        <v>1.95
[1.75, 2.19]</v>
      </c>
      <c r="T39" t="s">
        <v>142</v>
      </c>
      <c r="U39" s="3">
        <v>5.9919556222138145E-3</v>
      </c>
      <c r="V39" s="3">
        <v>6.0000000000000001E-3</v>
      </c>
      <c r="W39" s="19">
        <f t="shared" si="0"/>
        <v>-1.3407296310309336E-3</v>
      </c>
    </row>
    <row r="40" spans="1:23" x14ac:dyDescent="0.2">
      <c r="A40" t="s">
        <v>143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site'!BJ18*100, 2) &amp; " ["  &amp; ROUND('By site'!BM18*100, 2) &amp; ", " &amp; ROUND('By site'!BN18*100, 2) &amp; "]"</f>
        <v>3.37 [3.17, 3.59]</v>
      </c>
      <c r="G40" t="s">
        <v>143</v>
      </c>
      <c r="H40" t="str">
        <f>ROUND('By site'!AX18*100, 2) &amp; CHAR(10) &amp; "["  &amp; ROUND('By site'!AY18*100, 2) &amp; ", " &amp; ROUND('By site'!AZ18*100, 2) &amp; "]"</f>
        <v>0.38
[0.35, 0.41]</v>
      </c>
      <c r="I40" t="str">
        <f>ROUND('By site'!BA18*100, 2) &amp; CHAR(10) &amp; "["  &amp; ROUND('By site'!BB18*100, 2) &amp; ", " &amp; ROUND('By site'!BC18*100, 2) &amp; "]"</f>
        <v>1.6
[1.27, 1.97]</v>
      </c>
      <c r="J40" t="str">
        <f>ROUND('By site'!BD18*100, 2) &amp; CHAR(10) &amp; "["  &amp; ROUND('By site'!BE18*100, 2) &amp; ", " &amp; ROUND('By site'!BF18*100, 2) &amp; "]"</f>
        <v>0
[0, 0]</v>
      </c>
      <c r="K40" t="str">
        <f>ROUND('By site'!BG18*100, 2) &amp; CHAR(10) &amp; "["  &amp; ROUND('By site'!BH18*100, 2) &amp; ", " &amp; ROUND('By site'!BI18*100, 2) &amp; "]"</f>
        <v>1.98
[1.89, 2.08]</v>
      </c>
      <c r="N40" t="s">
        <v>143</v>
      </c>
      <c r="O40" t="str">
        <f>ROUND('By site'!BU18*100, 2) &amp; CHAR(10) &amp; "["  &amp; ROUND('By site'!BV18*100, 2) &amp; ", " &amp; ROUND('By site'!BW18*100, 2) &amp; "]"</f>
        <v>0.36
[0.3, 0.43]</v>
      </c>
      <c r="P40" t="str">
        <f>ROUND('By site'!BO18*100, 2) &amp; CHAR(10) &amp; "["  &amp; ROUND('By site'!BP18*100, 2) &amp; ", " &amp; ROUND('By site'!BQ18*100, 2) &amp; "]"</f>
        <v>1.03
[0.94, 1.14]</v>
      </c>
      <c r="Q40" t="str">
        <f>ROUND('By site'!BR18*100, 2) &amp; CHAR(10) &amp; "["  &amp; ROUND('By site'!BS18*100, 2) &amp; ", " &amp; ROUND('By site'!BT18*100, 2) &amp; "]"</f>
        <v>0
[0, 0]</v>
      </c>
      <c r="R40" t="str">
        <f>ROUND('By site'!BX18*100, 2) &amp; CHAR(10) &amp; "["  &amp; ROUND('By site'!BY18*100, 2) &amp; ", " &amp; ROUND('By site'!BZ18*100, 2) &amp; "]"</f>
        <v>1.39
[1.24, 1.57]</v>
      </c>
      <c r="T40" t="s">
        <v>143</v>
      </c>
      <c r="U40" s="3">
        <v>5.164364554168667E-3</v>
      </c>
      <c r="V40" s="3">
        <v>6.0000000000000001E-3</v>
      </c>
      <c r="W40" s="19">
        <f t="shared" si="0"/>
        <v>-0.13927257430522219</v>
      </c>
    </row>
    <row r="41" spans="1:23" x14ac:dyDescent="0.2">
      <c r="A41" t="s">
        <v>144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site'!BJ19*100, 2) &amp; " ["  &amp; ROUND('By site'!BM19*100, 2) &amp; ", " &amp; ROUND('By site'!BN19*100, 2) &amp; "]"</f>
        <v>8.55 [7.8, 9.44]</v>
      </c>
      <c r="G41" t="s">
        <v>144</v>
      </c>
      <c r="H41" t="str">
        <f>ROUND('By site'!AX19*100, 2) &amp; CHAR(10) &amp; "["  &amp; ROUND('By site'!AY19*100, 2) &amp; ", " &amp; ROUND('By site'!AZ19*100, 2) &amp; "]"</f>
        <v>0.78
[0.71, 0.87]</v>
      </c>
      <c r="I41" t="str">
        <f>ROUND('By site'!BA19*100, 2) &amp; CHAR(10) &amp; "["  &amp; ROUND('By site'!BB19*100, 2) &amp; ", " &amp; ROUND('By site'!BC19*100, 2) &amp; "]"</f>
        <v>4.05
[3.33, 4.84]</v>
      </c>
      <c r="J41" t="str">
        <f>ROUND('By site'!BD19*100, 2) &amp; CHAR(10) &amp; "["  &amp; ROUND('By site'!BE19*100, 2) &amp; ", " &amp; ROUND('By site'!BF19*100, 2) &amp; "]"</f>
        <v>0
[0, 0]</v>
      </c>
      <c r="K41" t="str">
        <f>ROUND('By site'!BG19*100, 2) &amp; CHAR(10) &amp; "["  &amp; ROUND('By site'!BH19*100, 2) &amp; ", " &amp; ROUND('By site'!BI19*100, 2) &amp; "]"</f>
        <v>4.84
[4.53, 5.17]</v>
      </c>
      <c r="N41" t="s">
        <v>144</v>
      </c>
      <c r="O41" t="str">
        <f>ROUND('By site'!BU19*100, 2) &amp; CHAR(10) &amp; "["  &amp; ROUND('By site'!BV19*100, 2) &amp; ", " &amp; ROUND('By site'!BW19*100, 2) &amp; "]"</f>
        <v>0.36
[0.3, 0.43]</v>
      </c>
      <c r="P41" t="str">
        <f>ROUND('By site'!BO19*100, 2) &amp; CHAR(10) &amp; "["  &amp; ROUND('By site'!BP19*100, 2) &amp; ", " &amp; ROUND('By site'!BQ19*100, 2) &amp; "]"</f>
        <v>3.35
[2.78, 4.15]</v>
      </c>
      <c r="Q41" t="str">
        <f>ROUND('By site'!BR19*100, 2) &amp; CHAR(10) &amp; "["  &amp; ROUND('By site'!BS19*100, 2) &amp; ", " &amp; ROUND('By site'!BT19*100, 2) &amp; "]"</f>
        <v>0
[0, 0]</v>
      </c>
      <c r="R41" t="str">
        <f>ROUND('By site'!BX19*100, 2) &amp; CHAR(10) &amp; "["  &amp; ROUND('By site'!BY19*100, 2) &amp; ", " &amp; ROUND('By site'!BZ19*100, 2) &amp; "]"</f>
        <v>3.72
[3.08, 4.58]</v>
      </c>
      <c r="T41" t="s">
        <v>144</v>
      </c>
      <c r="U41" s="3">
        <v>8.4776122707838977E-3</v>
      </c>
      <c r="V41" s="3">
        <v>6.0000000000000001E-3</v>
      </c>
      <c r="W41" s="19">
        <f t="shared" si="0"/>
        <v>0.41293537846398293</v>
      </c>
    </row>
    <row r="42" spans="1:23" x14ac:dyDescent="0.2">
      <c r="A42" t="s">
        <v>176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site'!BJ20*100, 2) &amp; " ["  &amp; ROUND('By site'!BM20*100, 2) &amp; ", " &amp; ROUND('By site'!BN20*100, 2) &amp; "]"</f>
        <v>0.74 [0.62, 0.86]</v>
      </c>
      <c r="G42" t="s">
        <v>176</v>
      </c>
      <c r="H42" t="str">
        <f>ROUND('By site'!AX20*100, 2) &amp; CHAR(10) &amp; "["  &amp; ROUND('By site'!AY20*100, 2) &amp; ", " &amp; ROUND('By site'!AZ20*100, 2) &amp; "]"</f>
        <v>0.02
[0.02, 0.03]</v>
      </c>
      <c r="I42" t="str">
        <f>ROUND('By site'!BA20*100, 2) &amp; CHAR(10) &amp; "["  &amp; ROUND('By site'!BB20*100, 2) &amp; ", " &amp; ROUND('By site'!BC20*100, 2) &amp; "]"</f>
        <v>0.38
[0.29, 0.46]</v>
      </c>
      <c r="J42" t="str">
        <f>ROUND('By site'!BD20*100, 2) &amp; CHAR(10) &amp; "["  &amp; ROUND('By site'!BE20*100, 2) &amp; ", " &amp; ROUND('By site'!BF20*100, 2) &amp; "]"</f>
        <v>0
[0, 0]</v>
      </c>
      <c r="K42" t="str">
        <f>ROUND('By site'!BG20*100, 2) &amp; CHAR(10) &amp; "["  &amp; ROUND('By site'!BH20*100, 2) &amp; ", " &amp; ROUND('By site'!BI20*100, 2) &amp; "]"</f>
        <v>0.4
[0.33, 0.47]</v>
      </c>
      <c r="N42" t="s">
        <v>176</v>
      </c>
      <c r="O42" t="str">
        <f>ROUND('By site'!BU20*100, 2) &amp; CHAR(10) &amp; "["  &amp; ROUND('By site'!BV20*100, 2) &amp; ", " &amp; ROUND('By site'!BW20*100, 2) &amp; "]"</f>
        <v>0.18
[0.15, 0.21]</v>
      </c>
      <c r="P42" t="str">
        <f>ROUND('By site'!BO20*100, 2) &amp; CHAR(10) &amp; "["  &amp; ROUND('By site'!BP20*100, 2) &amp; ", " &amp; ROUND('By site'!BQ20*100, 2) &amp; "]"</f>
        <v>0.16
[0.11, 0.22]</v>
      </c>
      <c r="Q42" t="str">
        <f>ROUND('By site'!BR20*100, 2) &amp; CHAR(10) &amp; "["  &amp; ROUND('By site'!BS20*100, 2) &amp; ", " &amp; ROUND('By site'!BT20*100, 2) &amp; "]"</f>
        <v>0
[0, 0]</v>
      </c>
      <c r="R42" t="str">
        <f>ROUND('By site'!BX20*100, 2) &amp; CHAR(10) &amp; "["  &amp; ROUND('By site'!BY20*100, 2) &amp; ", " &amp; ROUND('By site'!BZ20*100, 2) &amp; "]"</f>
        <v>0.34
[0.26, 0.43]</v>
      </c>
      <c r="T42" t="s">
        <v>176</v>
      </c>
      <c r="U42" s="3">
        <v>2.1797687394629409E-4</v>
      </c>
      <c r="V42" s="3">
        <v>3.0999999999999999E-3</v>
      </c>
      <c r="W42" s="19">
        <f t="shared" si="0"/>
        <v>-0.92968487937216315</v>
      </c>
    </row>
    <row r="43" spans="1:23" x14ac:dyDescent="0.2">
      <c r="A43" t="s">
        <v>249</v>
      </c>
      <c r="G43" t="s">
        <v>249</v>
      </c>
      <c r="N43" t="s">
        <v>249</v>
      </c>
    </row>
    <row r="44" spans="1:23" x14ac:dyDescent="0.2">
      <c r="A44" t="s">
        <v>250</v>
      </c>
      <c r="B44" t="str">
        <f>ROUND('By site'!U27, 0) &amp; " ["  &amp; ROUND('By site'!V27, 0) &amp; ", " &amp; ROUND('By site'!W27, 0) &amp; "]"</f>
        <v>713 [672, 756]</v>
      </c>
      <c r="D44" t="str">
        <f>ROUND('By site'!BE27*100, 2) &amp; " ["  &amp; ROUND('By site'!BF27*100, 2) &amp; ", " &amp; ROUND('By site'!BG27*100, 2) &amp; "]"</f>
        <v>2.97 [2.8, 3.15]</v>
      </c>
    </row>
    <row r="46" spans="1:23" x14ac:dyDescent="0.2">
      <c r="A46" t="s">
        <v>271</v>
      </c>
      <c r="B46" t="str" cm="1">
        <f t="array" ref="B46:B65">'By site'!Y1:Y20</f>
        <v>% SDev of MC iterations</v>
      </c>
      <c r="C46" t="str" cm="1">
        <f t="array" ref="C46:C65">'By site'!AT1:AT20</f>
        <v>SErr of sample mean</v>
      </c>
    </row>
    <row r="47" spans="1:23" x14ac:dyDescent="0.2">
      <c r="A47" t="s">
        <v>146</v>
      </c>
      <c r="B47" s="10">
        <v>6.2336739186848199E-2</v>
      </c>
      <c r="C47" s="2">
        <v>1.9712607773831299E-3</v>
      </c>
    </row>
    <row r="48" spans="1:23" x14ac:dyDescent="0.2">
      <c r="A48" t="s">
        <v>129</v>
      </c>
      <c r="B48" s="10">
        <v>3.26624826500772E-2</v>
      </c>
      <c r="C48" s="2">
        <v>1.0328783920997601E-3</v>
      </c>
    </row>
    <row r="49" spans="1:3" x14ac:dyDescent="0.2">
      <c r="A49" t="s">
        <v>130</v>
      </c>
      <c r="B49" s="10">
        <v>5.2643636152650497E-2</v>
      </c>
      <c r="C49" s="2">
        <v>1.6647379455555901E-3</v>
      </c>
    </row>
    <row r="50" spans="1:3" x14ac:dyDescent="0.2">
      <c r="A50" t="s">
        <v>132</v>
      </c>
      <c r="B50" s="10">
        <v>4.6598348594653498E-2</v>
      </c>
      <c r="C50" s="2">
        <v>1.4735691676161201E-3</v>
      </c>
    </row>
    <row r="51" spans="1:3" x14ac:dyDescent="0.2">
      <c r="A51" t="s">
        <v>131</v>
      </c>
      <c r="B51" s="10">
        <v>5.6701480279396699E-2</v>
      </c>
      <c r="C51" s="2">
        <v>1.7930582438601399E-3</v>
      </c>
    </row>
    <row r="52" spans="1:3" x14ac:dyDescent="0.2">
      <c r="A52" t="s">
        <v>133</v>
      </c>
      <c r="B52" s="10">
        <v>9.8709591306135394E-2</v>
      </c>
      <c r="C52" s="2">
        <v>3.1214713543174298E-3</v>
      </c>
    </row>
    <row r="53" spans="1:3" x14ac:dyDescent="0.2">
      <c r="A53" t="s">
        <v>134</v>
      </c>
      <c r="B53" s="10">
        <v>0.119245726869894</v>
      </c>
      <c r="C53" s="2">
        <v>3.7708809815120599E-3</v>
      </c>
    </row>
    <row r="54" spans="1:3" x14ac:dyDescent="0.2">
      <c r="A54" t="s">
        <v>136</v>
      </c>
      <c r="B54" s="10">
        <v>0.14962665851669699</v>
      </c>
      <c r="C54" s="2">
        <v>4.7316103959299301E-3</v>
      </c>
    </row>
    <row r="55" spans="1:3" x14ac:dyDescent="0.2">
      <c r="A55" t="s">
        <v>135</v>
      </c>
      <c r="B55" s="10">
        <v>0.19641561359277601</v>
      </c>
      <c r="C55" s="2">
        <v>6.21120706972702E-3</v>
      </c>
    </row>
    <row r="56" spans="1:3" x14ac:dyDescent="0.2">
      <c r="A56" t="s">
        <v>137</v>
      </c>
      <c r="B56" s="10">
        <v>0.111421422118788</v>
      </c>
      <c r="C56" s="2">
        <v>3.52345474030435E-3</v>
      </c>
    </row>
    <row r="57" spans="1:3" x14ac:dyDescent="0.2">
      <c r="A57" t="s">
        <v>138</v>
      </c>
      <c r="B57" s="10">
        <v>4.7402711946863699E-2</v>
      </c>
      <c r="C57" s="2">
        <v>1.4990053702096399E-3</v>
      </c>
    </row>
    <row r="58" spans="1:3" x14ac:dyDescent="0.2">
      <c r="A58" t="s">
        <v>139</v>
      </c>
      <c r="B58" s="10">
        <v>8.9035172319459899E-2</v>
      </c>
      <c r="C58" s="2">
        <v>2.8155393639507E-3</v>
      </c>
    </row>
    <row r="59" spans="1:3" x14ac:dyDescent="0.2">
      <c r="A59" t="s">
        <v>140</v>
      </c>
      <c r="B59" s="10">
        <v>5.7544121169968203E-2</v>
      </c>
      <c r="C59" s="2">
        <v>1.81970488849813E-3</v>
      </c>
    </row>
    <row r="60" spans="1:3" x14ac:dyDescent="0.2">
      <c r="A60" t="s">
        <v>128</v>
      </c>
      <c r="B60" s="10">
        <v>7.0991530548878606E-2</v>
      </c>
      <c r="C60" s="2">
        <v>2.2449493111588001E-3</v>
      </c>
    </row>
    <row r="61" spans="1:3" x14ac:dyDescent="0.2">
      <c r="A61" t="s">
        <v>141</v>
      </c>
      <c r="B61" s="10">
        <v>6.5015162364104803E-2</v>
      </c>
      <c r="C61" s="2">
        <v>2.05595995516229E-3</v>
      </c>
    </row>
    <row r="62" spans="1:3" x14ac:dyDescent="0.2">
      <c r="A62" t="s">
        <v>142</v>
      </c>
      <c r="B62" s="10">
        <v>6.6200512871116196E-2</v>
      </c>
      <c r="C62" s="2">
        <v>2.0934440294402001E-3</v>
      </c>
    </row>
    <row r="63" spans="1:3" x14ac:dyDescent="0.2">
      <c r="A63" t="s">
        <v>143</v>
      </c>
      <c r="B63" s="10">
        <v>7.9024394871581194E-2</v>
      </c>
      <c r="C63" s="2">
        <v>2.4989707851072601E-3</v>
      </c>
    </row>
    <row r="64" spans="1:3" x14ac:dyDescent="0.2">
      <c r="A64" t="s">
        <v>144</v>
      </c>
      <c r="B64" s="10">
        <v>0.112914443367717</v>
      </c>
      <c r="C64" s="2">
        <v>3.5706682177207901E-3</v>
      </c>
    </row>
    <row r="65" spans="1:3" x14ac:dyDescent="0.2">
      <c r="A65" t="s">
        <v>176</v>
      </c>
      <c r="B65" s="10">
        <v>7.3058183163066601E-2</v>
      </c>
      <c r="C65" s="2">
        <v>2.3103026050905499E-3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2778-60F5-1343-890E-5135D8DF01F8}">
  <dimension ref="A1:CB58"/>
  <sheetViews>
    <sheetView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AX2" sqref="AX2"/>
    </sheetView>
  </sheetViews>
  <sheetFormatPr baseColWidth="10" defaultRowHeight="16" x14ac:dyDescent="0.2"/>
  <cols>
    <col min="1" max="1" width="21.1640625" customWidth="1"/>
    <col min="2" max="2" width="14.5" customWidth="1"/>
    <col min="3" max="22" width="11" bestFit="1" customWidth="1"/>
    <col min="23" max="23" width="11.1640625" bestFit="1" customWidth="1"/>
    <col min="24" max="24" width="11.6640625" bestFit="1" customWidth="1"/>
    <col min="25" max="25" width="11.5" customWidth="1"/>
    <col min="26" max="34" width="11" bestFit="1" customWidth="1"/>
    <col min="35" max="35" width="13.33203125" bestFit="1" customWidth="1"/>
    <col min="36" max="40" width="11" bestFit="1" customWidth="1"/>
    <col min="41" max="41" width="12.33203125" customWidth="1"/>
    <col min="42" max="43" width="11" bestFit="1" customWidth="1"/>
    <col min="44" max="44" width="20" customWidth="1"/>
    <col min="45" max="45" width="27.1640625" customWidth="1"/>
    <col min="46" max="46" width="16.5" customWidth="1"/>
    <col min="47" max="47" width="17.5" customWidth="1"/>
    <col min="48" max="67" width="11" bestFit="1" customWidth="1"/>
    <col min="68" max="73" width="14" style="14" customWidth="1"/>
    <col min="74" max="74" width="19.6640625" style="14" customWidth="1"/>
    <col min="75" max="77" width="11" bestFit="1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16.8255982278522</v>
      </c>
      <c r="C2">
        <v>78.160959045812504</v>
      </c>
      <c r="D2">
        <v>5.6541529230825898</v>
      </c>
      <c r="E2">
        <v>100.64071019674699</v>
      </c>
      <c r="F2">
        <v>93.596458320030706</v>
      </c>
      <c r="G2">
        <v>109.47364677354101</v>
      </c>
      <c r="H2">
        <v>71.066286737347298</v>
      </c>
      <c r="I2">
        <v>86.784898532317598</v>
      </c>
      <c r="J2">
        <v>73.600746201379494</v>
      </c>
      <c r="K2">
        <v>67.258115558296893</v>
      </c>
      <c r="L2">
        <v>83.875294279618203</v>
      </c>
      <c r="M2">
        <v>6.2658452128832103</v>
      </c>
      <c r="N2">
        <v>8.2165050003384703</v>
      </c>
      <c r="O2">
        <v>188.72380661134801</v>
      </c>
      <c r="P2">
        <v>177.12980657006599</v>
      </c>
      <c r="Q2">
        <v>203.66240501129499</v>
      </c>
      <c r="R2">
        <v>1000</v>
      </c>
      <c r="S2" s="10">
        <v>6.5805049959357695E-2</v>
      </c>
      <c r="T2" s="6">
        <v>7.0962342611128504</v>
      </c>
      <c r="U2" s="6">
        <v>19.125</v>
      </c>
      <c r="V2">
        <v>1388.3754603360801</v>
      </c>
      <c r="W2">
        <v>21637</v>
      </c>
      <c r="X2">
        <v>81564</v>
      </c>
      <c r="Y2">
        <v>1.2</v>
      </c>
      <c r="Z2" s="8">
        <v>1083</v>
      </c>
      <c r="AA2">
        <v>1082.1610000000001</v>
      </c>
      <c r="AB2">
        <v>537</v>
      </c>
      <c r="AC2" s="6">
        <v>258.77800000000002</v>
      </c>
      <c r="AD2">
        <v>902</v>
      </c>
      <c r="AE2">
        <v>415</v>
      </c>
      <c r="AF2">
        <v>25.042103228190701</v>
      </c>
      <c r="AG2" t="s">
        <v>44</v>
      </c>
      <c r="AH2" t="s">
        <v>43</v>
      </c>
      <c r="AI2" s="12" t="s">
        <v>161</v>
      </c>
      <c r="AJ2" s="4">
        <v>67970</v>
      </c>
      <c r="AK2" s="6">
        <v>3.76982806433722</v>
      </c>
      <c r="AL2" s="12">
        <v>0.51503794724005403</v>
      </c>
      <c r="AM2" s="2">
        <v>3.3892097849096803E-2</v>
      </c>
      <c r="AN2" s="2">
        <v>2.08093839412741E-3</v>
      </c>
      <c r="AO2">
        <v>0.153121342017314</v>
      </c>
      <c r="AP2">
        <v>0.83485667391359597</v>
      </c>
      <c r="AQ2">
        <v>1.20219840690897E-2</v>
      </c>
      <c r="AR2" s="3">
        <v>1.21189107042985E-2</v>
      </c>
      <c r="AS2" s="2">
        <v>5.6296701633499299E-2</v>
      </c>
      <c r="AT2" s="2">
        <v>4.63749995231309E-2</v>
      </c>
      <c r="AU2" s="2">
        <v>6.8357041404351601E-2</v>
      </c>
      <c r="AV2" s="2">
        <v>4.07249557818741E-3</v>
      </c>
      <c r="AW2" s="2">
        <v>7.24881079159852E-2</v>
      </c>
      <c r="AX2" s="2">
        <v>0.13593139032122101</v>
      </c>
      <c r="AY2" s="3">
        <v>-8.3507670457354192E-3</v>
      </c>
      <c r="AZ2" s="3">
        <v>1.07597683960291E-2</v>
      </c>
      <c r="BA2" s="2">
        <v>0.127580623275486</v>
      </c>
      <c r="BB2" s="2">
        <v>0.14669115871725</v>
      </c>
      <c r="BC2" s="3">
        <v>5.3012134184194801E-2</v>
      </c>
      <c r="BD2" s="3">
        <v>4.8443751333674498E-2</v>
      </c>
      <c r="BE2" s="3">
        <v>6.0412544499536702E-2</v>
      </c>
      <c r="BF2" s="3">
        <v>3.66815845718581E-3</v>
      </c>
      <c r="BG2" s="3">
        <v>5.91807132513674E-3</v>
      </c>
      <c r="BH2" s="3">
        <v>1.5933500073561899E-2</v>
      </c>
      <c r="BI2" s="3">
        <v>1.5921156392526101E-2</v>
      </c>
      <c r="BJ2">
        <v>0.71731139451209402</v>
      </c>
      <c r="BK2" s="8">
        <v>18030</v>
      </c>
      <c r="BL2" s="3">
        <v>2.9783693843594E-2</v>
      </c>
      <c r="BM2" s="3">
        <v>1.19599759670934E-2</v>
      </c>
      <c r="BN2" s="3">
        <v>1.43526344980588E-2</v>
      </c>
      <c r="BO2" s="13">
        <v>151.761705247192</v>
      </c>
      <c r="BP2" s="13">
        <v>158.02755046007499</v>
      </c>
      <c r="BQ2" s="13">
        <v>25.042103228190701</v>
      </c>
      <c r="BR2" s="10">
        <v>0.80414640663501902</v>
      </c>
      <c r="BS2" s="10">
        <v>0.8373477425718</v>
      </c>
      <c r="BT2" s="10">
        <v>0.132692437058721</v>
      </c>
      <c r="BU2" s="10">
        <v>0.46672854658338497</v>
      </c>
      <c r="BV2" s="10">
        <v>0.38998972087869199</v>
      </c>
      <c r="BW2">
        <v>100.64071019674699</v>
      </c>
      <c r="BX2">
        <v>4.2905569813126299</v>
      </c>
      <c r="BY2">
        <v>7.7003630634280604E-2</v>
      </c>
      <c r="BZ2">
        <v>1.7544220516730099E-2</v>
      </c>
      <c r="CA2">
        <v>0.64011732758480899</v>
      </c>
      <c r="CB2">
        <v>12.323114327835899</v>
      </c>
    </row>
    <row r="3" spans="1:80" x14ac:dyDescent="0.2">
      <c r="A3" t="s">
        <v>129</v>
      </c>
      <c r="B3">
        <v>69.489304877365896</v>
      </c>
      <c r="C3">
        <v>236.221656295706</v>
      </c>
      <c r="D3">
        <v>0</v>
      </c>
      <c r="E3">
        <v>305.71096117307201</v>
      </c>
      <c r="F3">
        <v>295.962224690158</v>
      </c>
      <c r="G3">
        <v>316.13296284335303</v>
      </c>
      <c r="H3">
        <v>226.69533699629201</v>
      </c>
      <c r="I3">
        <v>246.502760274548</v>
      </c>
      <c r="J3">
        <v>212.511201714272</v>
      </c>
      <c r="K3">
        <v>200.48743050223499</v>
      </c>
      <c r="L3">
        <v>226.65239636705701</v>
      </c>
      <c r="M3">
        <v>0</v>
      </c>
      <c r="N3">
        <v>42.363324497013799</v>
      </c>
      <c r="O3">
        <v>560.58548738435798</v>
      </c>
      <c r="P3">
        <v>537.54034565266898</v>
      </c>
      <c r="Q3">
        <v>584.98518137809901</v>
      </c>
      <c r="R3">
        <v>1000</v>
      </c>
      <c r="S3" s="10">
        <v>3.0554511835277898E-2</v>
      </c>
      <c r="T3" s="6">
        <v>15.0295249</v>
      </c>
      <c r="U3" s="6">
        <v>59.786999999999999</v>
      </c>
      <c r="V3" s="4">
        <v>7487.10723600034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1644.8510000000001</v>
      </c>
      <c r="AB3" s="8">
        <v>1054</v>
      </c>
      <c r="AC3" s="6">
        <v>483.40199999999999</v>
      </c>
      <c r="AD3">
        <v>1272</v>
      </c>
      <c r="AE3">
        <v>679</v>
      </c>
      <c r="AF3">
        <v>111.85262937438</v>
      </c>
      <c r="AG3" t="s">
        <v>44</v>
      </c>
      <c r="AH3" t="s">
        <v>43</v>
      </c>
      <c r="AI3" s="12" t="s">
        <v>161</v>
      </c>
      <c r="AJ3" s="4">
        <v>179120</v>
      </c>
      <c r="AK3" s="6">
        <v>3.8655933703088201</v>
      </c>
      <c r="AL3" s="12">
        <v>0.50861822288460201</v>
      </c>
      <c r="AM3" s="2">
        <v>1.5540581510765599E-2</v>
      </c>
      <c r="AN3" s="2">
        <v>9.66218501940497E-4</v>
      </c>
      <c r="AO3">
        <v>0.35319130010985</v>
      </c>
      <c r="AP3">
        <v>0.64680869989015</v>
      </c>
      <c r="AQ3">
        <v>0</v>
      </c>
      <c r="AR3" s="3">
        <v>9.2811953518228893E-3</v>
      </c>
      <c r="AS3" s="2">
        <v>3.1550457185904698E-2</v>
      </c>
      <c r="AT3" s="2">
        <v>2.9048849720085899E-2</v>
      </c>
      <c r="AU3" s="2">
        <v>3.4250270793024798E-2</v>
      </c>
      <c r="AV3" s="2">
        <v>0</v>
      </c>
      <c r="AW3" s="2">
        <v>4.0831652537727602E-2</v>
      </c>
      <c r="AX3" s="3">
        <v>7.4873441733128598E-2</v>
      </c>
      <c r="AY3" s="3">
        <v>-3.0779767145420302E-3</v>
      </c>
      <c r="AZ3" s="3">
        <v>3.2588946871791201E-3</v>
      </c>
      <c r="BA3" s="2">
        <v>7.1795465018586593E-2</v>
      </c>
      <c r="BB3" s="2">
        <v>7.8132336420307799E-2</v>
      </c>
      <c r="BC3" s="3">
        <v>2.8383619335976901E-2</v>
      </c>
      <c r="BD3" s="3">
        <v>2.67776891905901E-2</v>
      </c>
      <c r="BE3" s="3">
        <v>3.0272358765911899E-2</v>
      </c>
      <c r="BF3" s="3">
        <v>0</v>
      </c>
      <c r="BG3" s="3">
        <v>5.6581698594241796E-3</v>
      </c>
      <c r="BH3" s="3">
        <v>9.7644037516748591E-3</v>
      </c>
      <c r="BI3" s="3">
        <v>9.1829555605180899E-3</v>
      </c>
      <c r="BJ3">
        <v>0.82971732887150096</v>
      </c>
      <c r="BK3" s="8">
        <v>46337</v>
      </c>
      <c r="BL3" s="3">
        <v>2.2746401363920799E-2</v>
      </c>
      <c r="BM3" s="3">
        <v>5.7159985810571103E-3</v>
      </c>
      <c r="BN3" s="3">
        <v>1.0432311112070301E-2</v>
      </c>
      <c r="BO3" s="13">
        <v>448.73285800997797</v>
      </c>
      <c r="BP3" s="13">
        <v>448.73285800997797</v>
      </c>
      <c r="BQ3" s="13">
        <v>111.85262937438</v>
      </c>
      <c r="BR3" s="10">
        <v>0.80047166832406003</v>
      </c>
      <c r="BS3" s="10">
        <v>0.80047166832406003</v>
      </c>
      <c r="BT3" s="10">
        <v>0.19952833167594</v>
      </c>
      <c r="BU3" s="10">
        <v>0.45465755471150499</v>
      </c>
      <c r="BV3" s="10">
        <v>0.37908773524254802</v>
      </c>
      <c r="BW3">
        <v>305.71096117307201</v>
      </c>
      <c r="BX3">
        <v>3.65025220188901</v>
      </c>
      <c r="BY3">
        <v>0.16157945564020901</v>
      </c>
      <c r="BZ3">
        <v>1.61574544658394E-2</v>
      </c>
      <c r="CA3">
        <v>0.64011732758480899</v>
      </c>
      <c r="CB3">
        <v>12.323114327835899</v>
      </c>
    </row>
    <row r="4" spans="1:80" x14ac:dyDescent="0.2">
      <c r="A4" t="s">
        <v>130</v>
      </c>
      <c r="B4">
        <v>22.373771759036899</v>
      </c>
      <c r="C4">
        <v>35.023810251784603</v>
      </c>
      <c r="D4">
        <v>0</v>
      </c>
      <c r="E4">
        <v>57.397582010821502</v>
      </c>
      <c r="F4">
        <v>53.968669485084703</v>
      </c>
      <c r="G4">
        <v>61.180327661844998</v>
      </c>
      <c r="H4">
        <v>31.8023404859611</v>
      </c>
      <c r="I4">
        <v>38.645860770669103</v>
      </c>
      <c r="J4">
        <v>60.168404311414001</v>
      </c>
      <c r="K4">
        <v>53.532428635786097</v>
      </c>
      <c r="L4">
        <v>67.318494384206602</v>
      </c>
      <c r="M4">
        <v>0</v>
      </c>
      <c r="N4">
        <v>18.105876499569799</v>
      </c>
      <c r="O4">
        <v>135.67186282180501</v>
      </c>
      <c r="P4">
        <v>124.83019561320801</v>
      </c>
      <c r="Q4">
        <v>147.11112490744901</v>
      </c>
      <c r="R4">
        <v>1000</v>
      </c>
      <c r="S4" s="10">
        <v>5.0538176416781003E-2</v>
      </c>
      <c r="T4" s="6">
        <v>8.0919112099999992</v>
      </c>
      <c r="U4" s="6">
        <v>82.13</v>
      </c>
      <c r="V4" s="4">
        <v>3397.2380042362302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247.60300000000001</v>
      </c>
      <c r="AB4" s="8">
        <v>239</v>
      </c>
      <c r="AC4" s="6">
        <v>101.245</v>
      </c>
      <c r="AD4">
        <v>316</v>
      </c>
      <c r="AE4">
        <v>233</v>
      </c>
      <c r="AF4">
        <v>40.479648258606701</v>
      </c>
      <c r="AG4" t="s">
        <v>44</v>
      </c>
      <c r="AH4" t="s">
        <v>43</v>
      </c>
      <c r="AI4" s="12" t="s">
        <v>161</v>
      </c>
      <c r="AJ4" s="4">
        <v>26787</v>
      </c>
      <c r="AK4" s="6">
        <v>2.85575692963753</v>
      </c>
      <c r="AL4" s="12">
        <v>0.59175151754216704</v>
      </c>
      <c r="AM4" s="2">
        <v>2.9906042588443999E-2</v>
      </c>
      <c r="AN4" s="2">
        <v>1.59815746268435E-3</v>
      </c>
      <c r="AO4">
        <v>0.53308934026289001</v>
      </c>
      <c r="AP4">
        <v>0.46691065973710999</v>
      </c>
      <c r="AQ4">
        <v>0</v>
      </c>
      <c r="AR4" s="3">
        <v>6.58587114919166E-3</v>
      </c>
      <c r="AS4" s="2">
        <v>1.0309495598516001E-2</v>
      </c>
      <c r="AT4" s="2">
        <v>8.7070300343997705E-3</v>
      </c>
      <c r="AU4" s="2">
        <v>1.2111223272504501E-2</v>
      </c>
      <c r="AV4" s="2">
        <v>0</v>
      </c>
      <c r="AW4" s="2">
        <v>1.6895366747707599E-2</v>
      </c>
      <c r="AX4" s="2">
        <v>3.9935931086555403E-2</v>
      </c>
      <c r="AY4" s="3">
        <v>-3.1913181222740501E-3</v>
      </c>
      <c r="AZ4" s="3">
        <v>3.3672242190213001E-3</v>
      </c>
      <c r="BA4" s="2">
        <v>3.6744612964281401E-2</v>
      </c>
      <c r="BB4" s="2">
        <v>4.3303155305576699E-2</v>
      </c>
      <c r="BC4" s="3">
        <v>1.7710977045584098E-2</v>
      </c>
      <c r="BD4" s="3">
        <v>1.5757632691331298E-2</v>
      </c>
      <c r="BE4" s="3">
        <v>1.9815654452311801E-2</v>
      </c>
      <c r="BF4" s="3">
        <v>0</v>
      </c>
      <c r="BG4" s="3">
        <v>5.3295872932636696E-3</v>
      </c>
      <c r="BH4" s="3">
        <v>1.0602157763094E-2</v>
      </c>
      <c r="BI4" s="3">
        <v>9.2434016500541304E-3</v>
      </c>
      <c r="BJ4">
        <v>0.82919663692761403</v>
      </c>
      <c r="BK4" s="8">
        <v>9380</v>
      </c>
      <c r="BL4" s="3">
        <v>2.5479744136460598E-2</v>
      </c>
      <c r="BM4" s="3">
        <v>5.9138434579439304E-3</v>
      </c>
      <c r="BN4" s="3">
        <v>1.0793710021321999E-2</v>
      </c>
      <c r="BO4" s="13">
        <v>95.192214563198604</v>
      </c>
      <c r="BP4" s="13">
        <v>95.192214563198604</v>
      </c>
      <c r="BQ4" s="13">
        <v>40.479648258606701</v>
      </c>
      <c r="BR4" s="10">
        <v>0.70163463238199597</v>
      </c>
      <c r="BS4" s="10">
        <v>0.70163463238199597</v>
      </c>
      <c r="BT4" s="10">
        <v>0.29836536761800397</v>
      </c>
      <c r="BU4" s="10">
        <v>0.57693794284796496</v>
      </c>
      <c r="BV4" s="10">
        <v>0.443484115053005</v>
      </c>
      <c r="BW4">
        <v>57.397582010821502</v>
      </c>
      <c r="BX4">
        <v>2.1272204053408199</v>
      </c>
      <c r="BY4">
        <v>0.36217889170961998</v>
      </c>
      <c r="BZ4">
        <v>1.4958182669224201E-2</v>
      </c>
      <c r="CA4">
        <v>0.64145542326250504</v>
      </c>
      <c r="CB4">
        <v>12.348874458529499</v>
      </c>
    </row>
    <row r="5" spans="1:80" x14ac:dyDescent="0.2">
      <c r="A5" t="s">
        <v>131</v>
      </c>
      <c r="B5">
        <v>30.305999737631598</v>
      </c>
      <c r="C5">
        <v>35.332186195954598</v>
      </c>
      <c r="D5">
        <v>0</v>
      </c>
      <c r="E5">
        <v>65.6381859335862</v>
      </c>
      <c r="F5">
        <v>61.923953086984604</v>
      </c>
      <c r="G5">
        <v>69.861354007164195</v>
      </c>
      <c r="H5">
        <v>31.649449214598199</v>
      </c>
      <c r="I5">
        <v>39.452821315136497</v>
      </c>
      <c r="J5">
        <v>44.134436763521002</v>
      </c>
      <c r="K5">
        <v>39.327962473119399</v>
      </c>
      <c r="L5">
        <v>49.339199031339298</v>
      </c>
      <c r="M5">
        <v>0</v>
      </c>
      <c r="N5">
        <v>23.599062397033901</v>
      </c>
      <c r="O5">
        <v>133.37168509414099</v>
      </c>
      <c r="P5">
        <v>123.034683132822</v>
      </c>
      <c r="Q5">
        <v>144.62584182311599</v>
      </c>
      <c r="R5">
        <v>1000</v>
      </c>
      <c r="S5" s="10">
        <v>5.6321968323327899E-2</v>
      </c>
      <c r="T5" s="6">
        <v>23.348039</v>
      </c>
      <c r="U5" s="6">
        <v>78.128</v>
      </c>
      <c r="V5" s="4">
        <v>4484.2499529226397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274.88600000000002</v>
      </c>
      <c r="AB5" s="8">
        <v>232</v>
      </c>
      <c r="AC5" s="6">
        <v>92.825000000000003</v>
      </c>
      <c r="AD5">
        <v>368</v>
      </c>
      <c r="AE5">
        <v>179</v>
      </c>
      <c r="AF5">
        <v>53.905062134665599</v>
      </c>
      <c r="AG5" t="s">
        <v>44</v>
      </c>
      <c r="AH5" t="s">
        <v>43</v>
      </c>
      <c r="AI5" s="12" t="s">
        <v>161</v>
      </c>
      <c r="AJ5" s="4">
        <v>51672</v>
      </c>
      <c r="AK5" s="6">
        <v>4.7946552844019701</v>
      </c>
      <c r="AL5" s="12">
        <v>0.45668979343236699</v>
      </c>
      <c r="AM5" s="2">
        <v>2.5721668079284901E-2</v>
      </c>
      <c r="AN5" s="2">
        <v>1.7810570220557101E-3</v>
      </c>
      <c r="AO5">
        <v>0.70390981137790598</v>
      </c>
      <c r="AP5">
        <v>0.29609018862209502</v>
      </c>
      <c r="AQ5">
        <v>0</v>
      </c>
      <c r="AR5" s="3">
        <v>6.75832080187223E-3</v>
      </c>
      <c r="AS5" s="2">
        <v>7.8791741242984405E-3</v>
      </c>
      <c r="AT5" s="2">
        <v>6.0808847214808897E-3</v>
      </c>
      <c r="AU5" s="2">
        <v>9.8912902502167298E-3</v>
      </c>
      <c r="AV5" s="2">
        <v>0</v>
      </c>
      <c r="AW5" s="2">
        <v>1.46374949261707E-2</v>
      </c>
      <c r="AX5" s="2">
        <v>2.9742250430802902E-2</v>
      </c>
      <c r="AY5" s="3">
        <v>-2.3051797000259301E-3</v>
      </c>
      <c r="AZ5" s="3">
        <v>2.5097077208284602E-3</v>
      </c>
      <c r="BA5" s="2">
        <v>2.7437070730776999E-2</v>
      </c>
      <c r="BB5" s="2">
        <v>3.2251958151631302E-2</v>
      </c>
      <c r="BC5" s="3">
        <v>9.8421000673158503E-3</v>
      </c>
      <c r="BD5" s="3">
        <v>8.7702431590565497E-3</v>
      </c>
      <c r="BE5" s="3">
        <v>1.10027762835081E-2</v>
      </c>
      <c r="BF5" s="3">
        <v>0</v>
      </c>
      <c r="BG5" s="3">
        <v>5.2626554373163504E-3</v>
      </c>
      <c r="BH5" s="3">
        <v>6.4638488930174997E-3</v>
      </c>
      <c r="BI5" s="3">
        <v>5.3198250503173903E-3</v>
      </c>
      <c r="BJ5">
        <v>0.82664948964086804</v>
      </c>
      <c r="BK5" s="8">
        <v>10777</v>
      </c>
      <c r="BL5" s="3">
        <v>2.1527326714299001E-2</v>
      </c>
      <c r="BM5" s="3">
        <v>4.7191154041687899E-3</v>
      </c>
      <c r="BN5" s="3">
        <v>8.6132504407534592E-3</v>
      </c>
      <c r="BO5" s="13">
        <v>79.466622959475501</v>
      </c>
      <c r="BP5" s="13">
        <v>79.466622959475501</v>
      </c>
      <c r="BQ5" s="13">
        <v>53.905062134665599</v>
      </c>
      <c r="BR5" s="10">
        <v>0.59582544420953798</v>
      </c>
      <c r="BS5" s="10">
        <v>0.59582544420953798</v>
      </c>
      <c r="BT5" s="10">
        <v>0.40417455579046102</v>
      </c>
      <c r="BU5" s="10">
        <v>0.507855366826236</v>
      </c>
      <c r="BV5" s="10">
        <v>0.33091185512982602</v>
      </c>
      <c r="BW5">
        <v>65.6381859335862</v>
      </c>
      <c r="BX5">
        <v>1.7903950768799</v>
      </c>
      <c r="BY5">
        <v>0.41609445605666101</v>
      </c>
      <c r="BZ5">
        <v>1.4806434706237799E-2</v>
      </c>
      <c r="CA5">
        <v>0.648029561855481</v>
      </c>
      <c r="CB5">
        <v>12.4754354153996</v>
      </c>
    </row>
    <row r="6" spans="1:80" x14ac:dyDescent="0.2">
      <c r="A6" t="s">
        <v>132</v>
      </c>
      <c r="B6">
        <v>27.8948717443451</v>
      </c>
      <c r="C6">
        <v>37.083616020840303</v>
      </c>
      <c r="D6">
        <v>0</v>
      </c>
      <c r="E6">
        <v>64.978487765185406</v>
      </c>
      <c r="F6">
        <v>61.834648509130602</v>
      </c>
      <c r="G6">
        <v>68.379499344828005</v>
      </c>
      <c r="H6">
        <v>33.956679867729797</v>
      </c>
      <c r="I6">
        <v>40.421546833508401</v>
      </c>
      <c r="J6">
        <v>45.034611718778201</v>
      </c>
      <c r="K6">
        <v>41.362358182622103</v>
      </c>
      <c r="L6">
        <v>49.102821636909802</v>
      </c>
      <c r="M6">
        <v>0</v>
      </c>
      <c r="N6">
        <v>22.547872646255598</v>
      </c>
      <c r="O6">
        <v>132.560972130219</v>
      </c>
      <c r="P6">
        <v>123.592499902387</v>
      </c>
      <c r="Q6">
        <v>141.89731238689501</v>
      </c>
      <c r="R6">
        <v>1000</v>
      </c>
      <c r="S6" s="10">
        <v>4.4988881060078298E-2</v>
      </c>
      <c r="T6" s="6">
        <v>11.8134085</v>
      </c>
      <c r="U6" s="6">
        <v>67.617999999999995</v>
      </c>
      <c r="V6" s="4">
        <v>4284.5048312252202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361.36900000000003</v>
      </c>
      <c r="AB6" s="8">
        <v>296</v>
      </c>
      <c r="AC6" s="6">
        <v>124.684</v>
      </c>
      <c r="AD6">
        <v>477</v>
      </c>
      <c r="AE6">
        <v>232</v>
      </c>
      <c r="AF6">
        <v>50.442744390600602</v>
      </c>
      <c r="AG6" t="s">
        <v>44</v>
      </c>
      <c r="AH6" t="s">
        <v>43</v>
      </c>
      <c r="AI6" s="12" t="s">
        <v>161</v>
      </c>
      <c r="AJ6" s="4">
        <v>50357</v>
      </c>
      <c r="AK6" s="6">
        <v>4.82716641104295</v>
      </c>
      <c r="AL6" s="12">
        <v>0.45514928471695798</v>
      </c>
      <c r="AM6" s="2">
        <v>2.0476657034711E-2</v>
      </c>
      <c r="AN6" s="2">
        <v>1.42267333532258E-3</v>
      </c>
      <c r="AO6">
        <v>0.70526178368123005</v>
      </c>
      <c r="AP6">
        <v>0.29473821631877001</v>
      </c>
      <c r="AQ6">
        <v>0</v>
      </c>
      <c r="AR6" s="3">
        <v>6.5106407492060503E-3</v>
      </c>
      <c r="AS6" s="2">
        <v>8.6552863123358307E-3</v>
      </c>
      <c r="AT6" s="2">
        <v>7.0518027497109897E-3</v>
      </c>
      <c r="AU6" s="2">
        <v>1.0366967309073801E-2</v>
      </c>
      <c r="AV6" s="2">
        <v>0</v>
      </c>
      <c r="AW6" s="2">
        <v>1.5165927061541899E-2</v>
      </c>
      <c r="AX6" s="2">
        <v>3.0939624846288601E-2</v>
      </c>
      <c r="AY6" s="3">
        <v>-2.09323424318968E-3</v>
      </c>
      <c r="AZ6" s="3">
        <v>2.1790943468270201E-3</v>
      </c>
      <c r="BA6" s="2">
        <v>2.88463906030989E-2</v>
      </c>
      <c r="BB6" s="2">
        <v>3.3118719193115598E-2</v>
      </c>
      <c r="BC6" s="3">
        <v>1.05110423474304E-2</v>
      </c>
      <c r="BD6" s="3">
        <v>9.6539413098978705E-3</v>
      </c>
      <c r="BE6" s="3">
        <v>1.14605592877504E-2</v>
      </c>
      <c r="BF6" s="3">
        <v>0</v>
      </c>
      <c r="BG6" s="3">
        <v>5.2626554373163504E-3</v>
      </c>
      <c r="BH6" s="3">
        <v>8.2610163433087802E-3</v>
      </c>
      <c r="BI6" s="3">
        <v>7.1761423436662204E-3</v>
      </c>
      <c r="BJ6">
        <v>0.80104395541374396</v>
      </c>
      <c r="BK6" s="8">
        <v>10432</v>
      </c>
      <c r="BL6" s="3">
        <v>2.83742331288344E-2</v>
      </c>
      <c r="BM6" s="3">
        <v>6.54852941176471E-3</v>
      </c>
      <c r="BN6" s="3">
        <v>1.19520705521472E-2</v>
      </c>
      <c r="BO6" s="13">
        <v>82.118227739618604</v>
      </c>
      <c r="BP6" s="13">
        <v>82.118227739618604</v>
      </c>
      <c r="BQ6" s="13">
        <v>50.442744390600602</v>
      </c>
      <c r="BR6" s="10">
        <v>0.61947486973230903</v>
      </c>
      <c r="BS6" s="10">
        <v>0.61947486973230903</v>
      </c>
      <c r="BT6" s="10">
        <v>0.38052513026769103</v>
      </c>
      <c r="BU6" s="10">
        <v>0.50982176384322697</v>
      </c>
      <c r="BV6" s="10">
        <v>0.33972726530231601</v>
      </c>
      <c r="BW6">
        <v>64.978487765185406</v>
      </c>
      <c r="BX6">
        <v>1.86594952417664</v>
      </c>
      <c r="BY6">
        <v>0.41070790176622102</v>
      </c>
      <c r="BZ6">
        <v>1.4806434706237799E-2</v>
      </c>
      <c r="CA6">
        <v>0.648029561855481</v>
      </c>
      <c r="CB6">
        <v>12.4754354153996</v>
      </c>
    </row>
    <row r="7" spans="1:80" x14ac:dyDescent="0.2">
      <c r="A7" t="s">
        <v>133</v>
      </c>
      <c r="B7">
        <v>2.5833258847844198</v>
      </c>
      <c r="C7">
        <v>2.3916836536414201</v>
      </c>
      <c r="D7">
        <v>0</v>
      </c>
      <c r="E7">
        <v>4.9750095384258399</v>
      </c>
      <c r="F7">
        <v>4.1661411645832898</v>
      </c>
      <c r="G7">
        <v>5.8923777929190502</v>
      </c>
      <c r="H7">
        <v>1.6039577833921601</v>
      </c>
      <c r="I7">
        <v>3.3167159533541799</v>
      </c>
      <c r="J7">
        <v>4.78558430259391</v>
      </c>
      <c r="K7">
        <v>3.667110954105</v>
      </c>
      <c r="L7">
        <v>6.25591815575208</v>
      </c>
      <c r="M7">
        <v>0</v>
      </c>
      <c r="N7">
        <v>1.3815948822775499</v>
      </c>
      <c r="O7">
        <v>11.1421887232973</v>
      </c>
      <c r="P7">
        <v>9.5308318996464401</v>
      </c>
      <c r="Q7">
        <v>13.2120935553901</v>
      </c>
      <c r="R7">
        <v>1000</v>
      </c>
      <c r="S7" s="10">
        <v>0.102826821401067</v>
      </c>
      <c r="T7" s="6">
        <v>9</v>
      </c>
      <c r="U7" s="6">
        <v>41.103999999999999</v>
      </c>
      <c r="V7" s="4">
        <v>149.283487773426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69.045000000000002</v>
      </c>
      <c r="AB7" s="8">
        <v>40</v>
      </c>
      <c r="AC7" s="6">
        <v>15.041</v>
      </c>
      <c r="AD7">
        <v>48</v>
      </c>
      <c r="AE7">
        <v>36</v>
      </c>
      <c r="AF7">
        <v>3.9649207670619702</v>
      </c>
      <c r="AG7" t="s">
        <v>44</v>
      </c>
      <c r="AH7" t="s">
        <v>43</v>
      </c>
      <c r="AI7" s="12" t="s">
        <v>161</v>
      </c>
      <c r="AJ7" s="4">
        <v>46494</v>
      </c>
      <c r="AK7" s="6">
        <v>1.9552546364439201</v>
      </c>
      <c r="AL7" s="12">
        <v>0.71515196751850496</v>
      </c>
      <c r="AM7" s="2">
        <v>7.35368036386473E-2</v>
      </c>
      <c r="AN7" s="2">
        <v>3.2516696018271901E-3</v>
      </c>
      <c r="AO7">
        <v>0.75007170727446604</v>
      </c>
      <c r="AP7">
        <v>0.24992829272553499</v>
      </c>
      <c r="AQ7">
        <v>0</v>
      </c>
      <c r="AR7" s="3">
        <v>1.73048333966128E-2</v>
      </c>
      <c r="AS7" s="2">
        <v>1.60210863861339E-2</v>
      </c>
      <c r="AT7" s="2">
        <v>8.6426387798661502E-3</v>
      </c>
      <c r="AU7" s="2">
        <v>2.4685651833725699E-2</v>
      </c>
      <c r="AV7" s="2">
        <v>0</v>
      </c>
      <c r="AW7" s="2">
        <v>3.3325919782746703E-2</v>
      </c>
      <c r="AX7" s="2">
        <v>7.4637784054243705E-2</v>
      </c>
      <c r="AY7" s="3">
        <v>-1.07939387515951E-2</v>
      </c>
      <c r="AZ7" s="3">
        <v>1.38655980173396E-2</v>
      </c>
      <c r="BA7" s="2">
        <v>6.38438453026485E-2</v>
      </c>
      <c r="BB7" s="2">
        <v>8.85033820715833E-2</v>
      </c>
      <c r="BC7" s="3">
        <v>3.2057023680054898E-2</v>
      </c>
      <c r="BD7" s="3">
        <v>2.4564745966216502E-2</v>
      </c>
      <c r="BE7" s="3">
        <v>4.1906296865511103E-2</v>
      </c>
      <c r="BF7" s="3">
        <v>0</v>
      </c>
      <c r="BG7" s="3">
        <v>9.2548405914420605E-3</v>
      </c>
      <c r="BH7" s="3">
        <v>1.6561276723878399E-3</v>
      </c>
      <c r="BI7" s="3">
        <v>1.4850303264937401E-3</v>
      </c>
      <c r="BJ7">
        <v>0.98987945073022798</v>
      </c>
      <c r="BK7" s="8">
        <v>23779</v>
      </c>
      <c r="BL7" s="3">
        <v>1.6821565246646201E-3</v>
      </c>
      <c r="BM7" s="3">
        <v>3.6202373215876E-4</v>
      </c>
      <c r="BN7" s="3">
        <v>6.3253290718701398E-4</v>
      </c>
      <c r="BO7" s="13">
        <v>7.1772679562353296</v>
      </c>
      <c r="BP7" s="13">
        <v>7.1772679562353296</v>
      </c>
      <c r="BQ7" s="13">
        <v>3.9649207670619702</v>
      </c>
      <c r="BR7" s="10">
        <v>0.644147982674381</v>
      </c>
      <c r="BS7" s="10">
        <v>0.644147982674381</v>
      </c>
      <c r="BT7" s="10">
        <v>0.355852017325619</v>
      </c>
      <c r="BU7" s="10">
        <v>0.55349641492266199</v>
      </c>
      <c r="BV7" s="10">
        <v>0.42949784887758102</v>
      </c>
      <c r="BW7">
        <v>4.9750095384258399</v>
      </c>
      <c r="BX7">
        <v>1.90632464612068</v>
      </c>
      <c r="BY7" s="16">
        <v>6.27795482456899E-3</v>
      </c>
      <c r="BZ7">
        <v>0.10179783119697899</v>
      </c>
      <c r="CA7">
        <v>0.50705035719342895</v>
      </c>
      <c r="CB7">
        <v>9.7613972507826006</v>
      </c>
    </row>
    <row r="8" spans="1:80" x14ac:dyDescent="0.2">
      <c r="A8" t="s">
        <v>134</v>
      </c>
      <c r="B8">
        <v>2.6726339828100598</v>
      </c>
      <c r="C8">
        <v>4.4836227303082801</v>
      </c>
      <c r="D8">
        <v>0</v>
      </c>
      <c r="E8">
        <v>7.1562567131183403</v>
      </c>
      <c r="F8">
        <v>6.3872147311610297</v>
      </c>
      <c r="G8">
        <v>8.0603015157300106</v>
      </c>
      <c r="H8">
        <v>3.73667742973557</v>
      </c>
      <c r="I8">
        <v>5.3829447977751999</v>
      </c>
      <c r="J8">
        <v>7.4170192143026199</v>
      </c>
      <c r="K8">
        <v>6.1694420903406098</v>
      </c>
      <c r="L8">
        <v>8.8375578600078608</v>
      </c>
      <c r="M8">
        <v>0</v>
      </c>
      <c r="N8">
        <v>1.4567203181733099</v>
      </c>
      <c r="O8">
        <v>16.029996245594301</v>
      </c>
      <c r="P8">
        <v>14.233217201769399</v>
      </c>
      <c r="Q8">
        <v>17.954098993747799</v>
      </c>
      <c r="R8">
        <v>1000</v>
      </c>
      <c r="S8" s="10">
        <v>0.11504144169867001</v>
      </c>
      <c r="T8" s="6">
        <v>11</v>
      </c>
      <c r="U8" s="6">
        <v>41.987000000000002</v>
      </c>
      <c r="V8" s="4">
        <v>151.94599395660799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80.015000000000001</v>
      </c>
      <c r="AB8" s="8">
        <v>54</v>
      </c>
      <c r="AC8" s="6">
        <v>15.949</v>
      </c>
      <c r="AD8">
        <v>144</v>
      </c>
      <c r="AE8">
        <v>89</v>
      </c>
      <c r="AF8">
        <v>4.12935430098337</v>
      </c>
      <c r="AG8" t="s">
        <v>44</v>
      </c>
      <c r="AH8" t="s">
        <v>43</v>
      </c>
      <c r="AI8" s="12" t="s">
        <v>161</v>
      </c>
      <c r="AJ8" s="4">
        <v>110154</v>
      </c>
      <c r="AK8" s="6">
        <v>4.7679522139981803</v>
      </c>
      <c r="AL8" s="12">
        <v>0.45796686083536697</v>
      </c>
      <c r="AM8" s="2">
        <v>5.2685167920714503E-2</v>
      </c>
      <c r="AN8" s="2">
        <v>3.6379298107726602E-3</v>
      </c>
      <c r="AO8">
        <v>0.34370241750226199</v>
      </c>
      <c r="AP8">
        <v>0.65629758249773695</v>
      </c>
      <c r="AQ8">
        <v>0</v>
      </c>
      <c r="AR8" s="3">
        <v>1.7589367861671298E-2</v>
      </c>
      <c r="AS8" s="2">
        <v>2.95080022418274E-2</v>
      </c>
      <c r="AT8" s="2">
        <v>1.8773905826763099E-2</v>
      </c>
      <c r="AU8" s="2">
        <v>4.2431853256062503E-2</v>
      </c>
      <c r="AV8" s="2">
        <v>0</v>
      </c>
      <c r="AW8" s="2">
        <v>4.7097370103498598E-2</v>
      </c>
      <c r="AX8" s="2">
        <v>0.105497985357692</v>
      </c>
      <c r="AY8" s="3">
        <v>-1.18251162603078E-2</v>
      </c>
      <c r="AZ8" s="3">
        <v>1.2663069937224099E-2</v>
      </c>
      <c r="BA8" s="2">
        <v>9.3672869097384606E-2</v>
      </c>
      <c r="BB8" s="2">
        <v>0.118161055294916</v>
      </c>
      <c r="BC8" s="3">
        <v>4.8813522628446002E-2</v>
      </c>
      <c r="BD8" s="3">
        <v>4.0602861119869001E-2</v>
      </c>
      <c r="BE8" s="3">
        <v>5.8162493329910497E-2</v>
      </c>
      <c r="BF8" s="3">
        <v>0</v>
      </c>
      <c r="BG8" s="3">
        <v>9.5870926257477194E-3</v>
      </c>
      <c r="BH8" s="3">
        <v>7.8072516658496296E-4</v>
      </c>
      <c r="BI8" s="3">
        <v>7.26392141910416E-4</v>
      </c>
      <c r="BJ8">
        <v>0.982504541879475</v>
      </c>
      <c r="BK8" s="8">
        <v>23103</v>
      </c>
      <c r="BL8" s="3">
        <v>2.33735878457343E-3</v>
      </c>
      <c r="BM8" s="3">
        <v>3.9511953424996901E-4</v>
      </c>
      <c r="BN8" s="3">
        <v>6.9034324546595697E-4</v>
      </c>
      <c r="BO8" s="13">
        <v>11.9006419446109</v>
      </c>
      <c r="BP8" s="13">
        <v>11.9006419446109</v>
      </c>
      <c r="BQ8" s="13">
        <v>4.12935430098337</v>
      </c>
      <c r="BR8" s="10">
        <v>0.74239198312977295</v>
      </c>
      <c r="BS8" s="10">
        <v>0.74239198312977295</v>
      </c>
      <c r="BT8" s="10">
        <v>0.257608016870228</v>
      </c>
      <c r="BU8" s="10">
        <v>0.553562994646978</v>
      </c>
      <c r="BV8" s="10">
        <v>0.46268591829029598</v>
      </c>
      <c r="BW8">
        <v>7.1562567131183403</v>
      </c>
      <c r="BX8">
        <v>2.6307915424898098</v>
      </c>
      <c r="BY8" s="16">
        <v>6.5768945139855501E-3</v>
      </c>
      <c r="BZ8">
        <v>0.102020512732016</v>
      </c>
      <c r="CA8">
        <v>0.48039275481532101</v>
      </c>
      <c r="CB8">
        <v>9.2482027664981601</v>
      </c>
    </row>
    <row r="9" spans="1:80" x14ac:dyDescent="0.2">
      <c r="A9" t="s">
        <v>135</v>
      </c>
      <c r="B9">
        <v>1.8921155996940899</v>
      </c>
      <c r="C9">
        <v>2.5685247143874501</v>
      </c>
      <c r="D9">
        <v>0</v>
      </c>
      <c r="E9">
        <v>4.46064031408154</v>
      </c>
      <c r="F9">
        <v>3.8321634717791202</v>
      </c>
      <c r="G9">
        <v>5.2698562755031801</v>
      </c>
      <c r="H9">
        <v>1.9295777486521699</v>
      </c>
      <c r="I9">
        <v>3.3722109476995699</v>
      </c>
      <c r="J9">
        <v>3.8247167627537699</v>
      </c>
      <c r="K9">
        <v>2.96928271736705</v>
      </c>
      <c r="L9">
        <v>5.03790297965819</v>
      </c>
      <c r="M9">
        <v>0</v>
      </c>
      <c r="N9">
        <v>1.0927019790821699</v>
      </c>
      <c r="O9">
        <v>9.3780590559174701</v>
      </c>
      <c r="P9">
        <v>8.0771744102967205</v>
      </c>
      <c r="Q9">
        <v>11.023998783593299</v>
      </c>
      <c r="R9">
        <v>1000</v>
      </c>
      <c r="S9" s="10">
        <v>0.19377337125958299</v>
      </c>
      <c r="T9" s="6">
        <v>20.646401600000001</v>
      </c>
      <c r="U9" s="6">
        <v>38.971856064000001</v>
      </c>
      <c r="V9" s="4">
        <v>122.543360527687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45.151000000000003</v>
      </c>
      <c r="AB9" s="8">
        <v>27</v>
      </c>
      <c r="AC9" s="6">
        <v>8.0820000000000007</v>
      </c>
      <c r="AD9">
        <v>63</v>
      </c>
      <c r="AE9">
        <v>34</v>
      </c>
      <c r="AF9">
        <v>2.9848175787762599</v>
      </c>
      <c r="AG9" t="s">
        <v>44</v>
      </c>
      <c r="AH9" t="s">
        <v>43</v>
      </c>
      <c r="AI9" s="12" t="s">
        <v>161</v>
      </c>
      <c r="AJ9" s="4">
        <v>119733</v>
      </c>
      <c r="AK9" s="6">
        <v>7.2219675493093698</v>
      </c>
      <c r="AL9" s="12">
        <v>0.37211076458539299</v>
      </c>
      <c r="AM9" s="2">
        <v>7.2105157335692699E-2</v>
      </c>
      <c r="AN9" s="2">
        <v>6.1276520306969302E-3</v>
      </c>
      <c r="AO9">
        <v>0.44720469138577101</v>
      </c>
      <c r="AP9">
        <v>0.55279530861422799</v>
      </c>
      <c r="AQ9">
        <v>0</v>
      </c>
      <c r="AR9" s="3">
        <v>1.54403763006531E-2</v>
      </c>
      <c r="AS9" s="2">
        <v>2.0960129568236601E-2</v>
      </c>
      <c r="AT9" s="2">
        <v>6.9480436211688196E-3</v>
      </c>
      <c r="AU9" s="2">
        <v>3.8584942235881797E-2</v>
      </c>
      <c r="AV9" s="2">
        <v>0</v>
      </c>
      <c r="AW9" s="2">
        <v>3.6400505868889703E-2</v>
      </c>
      <c r="AX9" s="2">
        <v>7.65284958363667E-2</v>
      </c>
      <c r="AY9" s="3">
        <v>-1.0615708921470599E-2</v>
      </c>
      <c r="AZ9" s="3">
        <v>1.34314884183708E-2</v>
      </c>
      <c r="BA9" s="2">
        <v>6.5912786914896201E-2</v>
      </c>
      <c r="BB9" s="2">
        <v>8.9959984254737599E-2</v>
      </c>
      <c r="BC9" s="3">
        <v>3.1211130054570602E-2</v>
      </c>
      <c r="BD9" s="3">
        <v>2.4230465890448499E-2</v>
      </c>
      <c r="BE9" s="3">
        <v>4.1111186750260098E-2</v>
      </c>
      <c r="BF9" s="3">
        <v>0</v>
      </c>
      <c r="BG9" s="3">
        <v>8.9168599129064493E-3</v>
      </c>
      <c r="BH9" s="3">
        <v>4.0089198466588199E-4</v>
      </c>
      <c r="BI9" s="3">
        <v>3.7709737499269202E-4</v>
      </c>
      <c r="BJ9">
        <v>0.98438024336297103</v>
      </c>
      <c r="BK9" s="8">
        <v>16579</v>
      </c>
      <c r="BL9" s="3">
        <v>1.6285662585198101E-3</v>
      </c>
      <c r="BM9" s="3">
        <v>2.4424297370806902E-4</v>
      </c>
      <c r="BN9" s="3">
        <v>4.87484166716931E-4</v>
      </c>
      <c r="BO9" s="13">
        <v>6.3932414771412098</v>
      </c>
      <c r="BP9" s="13">
        <v>6.3932414771412098</v>
      </c>
      <c r="BQ9" s="13">
        <v>2.9848175787762599</v>
      </c>
      <c r="BR9" s="10">
        <v>0.68169639486470002</v>
      </c>
      <c r="BS9" s="10">
        <v>0.68169639486470002</v>
      </c>
      <c r="BT9" s="10">
        <v>0.31830360513529998</v>
      </c>
      <c r="BU9" s="10">
        <v>0.52433693419016703</v>
      </c>
      <c r="BV9" s="10">
        <v>0.40780957008160601</v>
      </c>
      <c r="BW9">
        <v>4.46064031408154</v>
      </c>
      <c r="BX9">
        <v>2.3206947544266399</v>
      </c>
      <c r="BY9">
        <v>7.39148082077851E-3</v>
      </c>
      <c r="BZ9">
        <v>0.12332471560674001</v>
      </c>
      <c r="CA9">
        <v>0.44973107460455702</v>
      </c>
      <c r="CB9">
        <v>8.6579244308898602</v>
      </c>
    </row>
    <row r="10" spans="1:80" x14ac:dyDescent="0.2">
      <c r="A10" t="s">
        <v>136</v>
      </c>
      <c r="B10">
        <v>1.8128958236146</v>
      </c>
      <c r="C10">
        <v>3.8640124545521402</v>
      </c>
      <c r="D10">
        <v>0</v>
      </c>
      <c r="E10">
        <v>5.6769082781667404</v>
      </c>
      <c r="F10">
        <v>4.9856670681700397</v>
      </c>
      <c r="G10">
        <v>6.5499156691377296</v>
      </c>
      <c r="H10">
        <v>3.1867883249287301</v>
      </c>
      <c r="I10">
        <v>4.7404443275175003</v>
      </c>
      <c r="J10">
        <v>4.1744367215376803</v>
      </c>
      <c r="K10">
        <v>3.5456758269375399</v>
      </c>
      <c r="L10">
        <v>5.0869760625811802</v>
      </c>
      <c r="M10">
        <v>0</v>
      </c>
      <c r="N10">
        <v>1.0311572140559999</v>
      </c>
      <c r="O10">
        <v>10.8825022137604</v>
      </c>
      <c r="P10">
        <v>9.7209446269930293</v>
      </c>
      <c r="Q10">
        <v>12.2734660937227</v>
      </c>
      <c r="R10">
        <v>1000</v>
      </c>
      <c r="S10" s="10">
        <v>0.144814418364378</v>
      </c>
      <c r="T10" s="6">
        <v>23.632191899999999</v>
      </c>
      <c r="U10" s="6">
        <v>35.437965757000001</v>
      </c>
      <c r="V10" s="4">
        <v>115.64129347411701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90.531999999999996</v>
      </c>
      <c r="AB10" s="8">
        <v>39</v>
      </c>
      <c r="AC10" s="6">
        <v>13.345000000000001</v>
      </c>
      <c r="AD10">
        <v>151</v>
      </c>
      <c r="AE10">
        <v>65</v>
      </c>
      <c r="AF10">
        <v>2.8440530376706001</v>
      </c>
      <c r="AG10" t="s">
        <v>44</v>
      </c>
      <c r="AH10" t="s">
        <v>43</v>
      </c>
      <c r="AI10" s="12" t="s">
        <v>161</v>
      </c>
      <c r="AJ10" s="4">
        <v>119442</v>
      </c>
      <c r="AK10" s="6">
        <v>7.4688594297148603</v>
      </c>
      <c r="AL10" s="12">
        <v>0.36590880241805002</v>
      </c>
      <c r="AM10" s="2">
        <v>5.2988870396576099E-2</v>
      </c>
      <c r="AN10" s="2">
        <v>4.5794340006395104E-3</v>
      </c>
      <c r="AO10">
        <v>0.25463774608532003</v>
      </c>
      <c r="AP10">
        <v>0.74536225391468203</v>
      </c>
      <c r="AQ10">
        <v>0</v>
      </c>
      <c r="AR10" s="3">
        <v>1.56768898820763E-2</v>
      </c>
      <c r="AS10" s="2">
        <v>3.3413777539741799E-2</v>
      </c>
      <c r="AT10" s="2">
        <v>1.74091111513087E-2</v>
      </c>
      <c r="AU10" s="2">
        <v>5.4126270088995898E-2</v>
      </c>
      <c r="AV10" s="2">
        <v>0</v>
      </c>
      <c r="AW10" s="2">
        <v>4.9090667421818099E-2</v>
      </c>
      <c r="AX10" s="2">
        <v>9.41056770192229E-2</v>
      </c>
      <c r="AY10" s="3">
        <v>-1.00444880186971E-2</v>
      </c>
      <c r="AZ10" s="3">
        <v>1.2028262899650101E-2</v>
      </c>
      <c r="BA10" s="2">
        <v>8.4061189000525893E-2</v>
      </c>
      <c r="BB10" s="2">
        <v>0.106133939918873</v>
      </c>
      <c r="BC10" s="3">
        <v>3.6098149684498398E-2</v>
      </c>
      <c r="BD10" s="3">
        <v>3.0660983809655599E-2</v>
      </c>
      <c r="BE10" s="3">
        <v>4.3989269833960697E-2</v>
      </c>
      <c r="BF10" s="3">
        <v>0</v>
      </c>
      <c r="BG10" s="3">
        <v>8.9168599129064493E-3</v>
      </c>
      <c r="BH10" s="3">
        <v>7.8699285008623397E-4</v>
      </c>
      <c r="BI10" s="3">
        <v>7.5795783727666995E-4</v>
      </c>
      <c r="BJ10">
        <v>0.98376496855550999</v>
      </c>
      <c r="BK10" s="8">
        <v>15992</v>
      </c>
      <c r="BL10" s="3">
        <v>2.4387193596798399E-3</v>
      </c>
      <c r="BM10" s="3">
        <v>4.1808953914596302E-4</v>
      </c>
      <c r="BN10" s="3">
        <v>8.3447973986993502E-4</v>
      </c>
      <c r="BO10" s="13">
        <v>8.0384491760898307</v>
      </c>
      <c r="BP10" s="13">
        <v>8.0384491760898307</v>
      </c>
      <c r="BQ10" s="13">
        <v>2.8440530376706001</v>
      </c>
      <c r="BR10" s="10">
        <v>0.73865113367402502</v>
      </c>
      <c r="BS10" s="10">
        <v>0.73865113367402502</v>
      </c>
      <c r="BT10" s="10">
        <v>0.26134886632597498</v>
      </c>
      <c r="BU10" s="10">
        <v>0.47833681647690302</v>
      </c>
      <c r="BV10" s="10">
        <v>0.38358088687888198</v>
      </c>
      <c r="BW10">
        <v>5.6769082781667404</v>
      </c>
      <c r="BX10">
        <v>3.0805834499599598</v>
      </c>
      <c r="BY10">
        <v>7.2311964403524902E-3</v>
      </c>
      <c r="BZ10">
        <v>0.12332471560674001</v>
      </c>
      <c r="CA10">
        <v>0.44973107460455702</v>
      </c>
      <c r="CB10">
        <v>8.6579244308898602</v>
      </c>
    </row>
    <row r="11" spans="1:80" x14ac:dyDescent="0.2">
      <c r="A11" t="s">
        <v>137</v>
      </c>
      <c r="B11">
        <v>1.7277919413457099</v>
      </c>
      <c r="C11">
        <v>1.7508679310184301</v>
      </c>
      <c r="D11">
        <v>0</v>
      </c>
      <c r="E11">
        <v>3.47865987236414</v>
      </c>
      <c r="F11">
        <v>3.0432301640722299</v>
      </c>
      <c r="G11">
        <v>4.0198484151554599</v>
      </c>
      <c r="H11">
        <v>1.3185925961232401</v>
      </c>
      <c r="I11">
        <v>2.28492052214331</v>
      </c>
      <c r="J11">
        <v>0.78163418701163201</v>
      </c>
      <c r="K11">
        <v>0.53911293873591204</v>
      </c>
      <c r="L11">
        <v>1.0577359000958999</v>
      </c>
      <c r="M11">
        <v>0</v>
      </c>
      <c r="N11">
        <v>0.91896709075801697</v>
      </c>
      <c r="O11">
        <v>5.1792611501337902</v>
      </c>
      <c r="P11">
        <v>4.4983874946965301</v>
      </c>
      <c r="Q11">
        <v>5.9263283521689898</v>
      </c>
      <c r="R11">
        <v>1000</v>
      </c>
      <c r="S11" s="10">
        <v>0.10755886625689901</v>
      </c>
      <c r="T11" s="6">
        <v>15.958829700000001</v>
      </c>
      <c r="U11" s="6">
        <v>22.777000000000001</v>
      </c>
      <c r="V11" s="4">
        <v>72.5634354005836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41.273000000000003</v>
      </c>
      <c r="AB11" s="8">
        <v>35</v>
      </c>
      <c r="AC11" s="6">
        <v>15.718999999999999</v>
      </c>
      <c r="AD11">
        <v>17</v>
      </c>
      <c r="AE11">
        <v>12</v>
      </c>
      <c r="AF11">
        <v>2.6467590321037302</v>
      </c>
      <c r="AG11" t="s">
        <v>44</v>
      </c>
      <c r="AH11" t="s">
        <v>43</v>
      </c>
      <c r="AI11" s="12" t="s">
        <v>161</v>
      </c>
      <c r="AJ11" s="4">
        <v>59793</v>
      </c>
      <c r="AK11" s="6">
        <v>3.5712237950188102</v>
      </c>
      <c r="AL11" s="12">
        <v>0.52916543291403595</v>
      </c>
      <c r="AM11" s="2">
        <v>5.6916434026574897E-2</v>
      </c>
      <c r="AN11" s="2">
        <v>3.4013099991723099E-3</v>
      </c>
      <c r="AO11">
        <v>0.42522831259801303</v>
      </c>
      <c r="AP11">
        <v>0.57477168740198603</v>
      </c>
      <c r="AQ11">
        <v>0</v>
      </c>
      <c r="AR11" s="3">
        <v>2.3810779241742099E-2</v>
      </c>
      <c r="AS11" s="2">
        <v>2.4128790503823799E-2</v>
      </c>
      <c r="AT11" s="2">
        <v>1.28710520745168E-2</v>
      </c>
      <c r="AU11" s="2">
        <v>3.8037112105923199E-2</v>
      </c>
      <c r="AV11" s="2">
        <v>0</v>
      </c>
      <c r="AW11" s="2">
        <v>4.7939569745565902E-2</v>
      </c>
      <c r="AX11" s="2">
        <v>7.1375633217224094E-2</v>
      </c>
      <c r="AY11" s="3">
        <v>-9.3831507794322096E-3</v>
      </c>
      <c r="AZ11" s="3">
        <v>1.0295367052442401E-2</v>
      </c>
      <c r="BA11" s="2">
        <v>6.1992482437791901E-2</v>
      </c>
      <c r="BB11" s="2">
        <v>8.1671000269666602E-2</v>
      </c>
      <c r="BC11" s="3">
        <v>1.07717362428701E-2</v>
      </c>
      <c r="BD11" s="3">
        <v>7.4295399020148402E-3</v>
      </c>
      <c r="BE11" s="3">
        <v>1.4576706494899399E-2</v>
      </c>
      <c r="BF11" s="3">
        <v>0</v>
      </c>
      <c r="BG11" s="3">
        <v>1.2664327228788101E-2</v>
      </c>
      <c r="BH11" s="3">
        <v>7.8604518923619797E-4</v>
      </c>
      <c r="BI11" s="3">
        <v>6.9026474670948103E-4</v>
      </c>
      <c r="BJ11">
        <v>0.96051017643137904</v>
      </c>
      <c r="BK11" s="8">
        <v>16743</v>
      </c>
      <c r="BL11" s="3">
        <v>2.0904258496087899E-3</v>
      </c>
      <c r="BM11" s="3">
        <v>4.7037524687294302E-4</v>
      </c>
      <c r="BN11" s="3">
        <v>9.3884011228573098E-4</v>
      </c>
      <c r="BO11" s="13">
        <v>2.53250211803006</v>
      </c>
      <c r="BP11" s="13">
        <v>2.53250211803006</v>
      </c>
      <c r="BQ11" s="13">
        <v>2.6467590321037302</v>
      </c>
      <c r="BR11" s="10">
        <v>0.488952906623492</v>
      </c>
      <c r="BS11" s="10">
        <v>0.488952906623492</v>
      </c>
      <c r="BT11" s="10">
        <v>0.511047093376508</v>
      </c>
      <c r="BU11" s="10">
        <v>0.328344254950729</v>
      </c>
      <c r="BV11" s="10">
        <v>0.15090674451661101</v>
      </c>
      <c r="BW11">
        <v>3.47865987236414</v>
      </c>
      <c r="BX11">
        <v>1.9338737925848</v>
      </c>
      <c r="BY11" s="16">
        <v>4.3339566027942198E-3</v>
      </c>
      <c r="BZ11">
        <v>0.168169972198806</v>
      </c>
      <c r="CA11">
        <v>0.32980297344375897</v>
      </c>
      <c r="CB11">
        <v>6.3491481518584596</v>
      </c>
    </row>
    <row r="12" spans="1:80" x14ac:dyDescent="0.2">
      <c r="A12" t="s">
        <v>138</v>
      </c>
      <c r="B12">
        <v>12.2276168473176</v>
      </c>
      <c r="C12">
        <v>2.30341938908118</v>
      </c>
      <c r="D12">
        <v>0</v>
      </c>
      <c r="E12">
        <v>14.531036236398799</v>
      </c>
      <c r="F12">
        <v>13.813533354814201</v>
      </c>
      <c r="G12">
        <v>15.3471039805637</v>
      </c>
      <c r="H12">
        <v>1.63502725780752</v>
      </c>
      <c r="I12">
        <v>3.1112740026310002</v>
      </c>
      <c r="J12">
        <v>0.70542376795898798</v>
      </c>
      <c r="K12">
        <v>0.47123359231512402</v>
      </c>
      <c r="L12">
        <v>1.0805711997413501</v>
      </c>
      <c r="M12">
        <v>0</v>
      </c>
      <c r="N12">
        <v>6.62665685681492</v>
      </c>
      <c r="O12">
        <v>21.863116861172699</v>
      </c>
      <c r="P12">
        <v>19.900550799060401</v>
      </c>
      <c r="Q12">
        <v>23.930671405882901</v>
      </c>
      <c r="R12">
        <v>1000</v>
      </c>
      <c r="S12" s="10">
        <v>4.5356773520203501E-2</v>
      </c>
      <c r="T12" s="6">
        <v>11.1023447</v>
      </c>
      <c r="U12" s="6">
        <v>74.72</v>
      </c>
      <c r="V12" s="4">
        <v>1668.1967090752901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27.209</v>
      </c>
      <c r="AB12" s="8">
        <v>27</v>
      </c>
      <c r="AC12" s="6">
        <v>8.4689999999999994</v>
      </c>
      <c r="AD12">
        <v>24</v>
      </c>
      <c r="AE12">
        <v>9</v>
      </c>
      <c r="AF12">
        <v>18.854273704132599</v>
      </c>
      <c r="AG12" t="s">
        <v>44</v>
      </c>
      <c r="AH12" t="s">
        <v>43</v>
      </c>
      <c r="AI12" s="12" t="s">
        <v>161</v>
      </c>
      <c r="AJ12" s="4">
        <v>36894</v>
      </c>
      <c r="AK12" s="6">
        <v>5.0860215053763396</v>
      </c>
      <c r="AL12" s="12">
        <v>0.44341553440561798</v>
      </c>
      <c r="AM12" s="2">
        <v>2.0111897969375601E-2</v>
      </c>
      <c r="AN12" s="2">
        <v>1.43430711640256E-3</v>
      </c>
      <c r="AO12">
        <v>0.89945090903104996</v>
      </c>
      <c r="AP12">
        <v>0.100549090968951</v>
      </c>
      <c r="AQ12">
        <v>0</v>
      </c>
      <c r="AR12" s="3">
        <v>7.3298411277262698E-3</v>
      </c>
      <c r="AS12" s="2">
        <v>1.38078403856701E-3</v>
      </c>
      <c r="AT12" s="2">
        <v>4.7719040064507203E-4</v>
      </c>
      <c r="AU12" s="2">
        <v>2.4729158202181798E-3</v>
      </c>
      <c r="AV12" s="2">
        <v>0</v>
      </c>
      <c r="AW12" s="2">
        <v>8.7106251662932808E-3</v>
      </c>
      <c r="AX12" s="2">
        <v>1.3105838623367101E-2</v>
      </c>
      <c r="AY12" s="3">
        <v>-1.1764596174033701E-3</v>
      </c>
      <c r="AZ12" s="3">
        <v>1.2393949307430701E-3</v>
      </c>
      <c r="BA12" s="2">
        <v>1.19293790059637E-2</v>
      </c>
      <c r="BB12" s="2">
        <v>1.43452335541101E-2</v>
      </c>
      <c r="BC12" s="3">
        <v>4.2286605897335602E-4</v>
      </c>
      <c r="BD12" s="3">
        <v>2.8248083079862802E-4</v>
      </c>
      <c r="BE12" s="3">
        <v>6.4774807063390602E-4</v>
      </c>
      <c r="BF12" s="3">
        <v>0</v>
      </c>
      <c r="BG12" s="3">
        <v>3.97234739810044E-3</v>
      </c>
      <c r="BH12" s="3">
        <v>9.2155906109394497E-4</v>
      </c>
      <c r="BI12" s="3">
        <v>7.3749119097956295E-4</v>
      </c>
      <c r="BJ12">
        <v>0.976503414166493</v>
      </c>
      <c r="BK12" s="8">
        <v>7254</v>
      </c>
      <c r="BL12" s="3">
        <v>3.7220843672456602E-3</v>
      </c>
      <c r="BM12" s="3">
        <v>7.2564476051752201E-4</v>
      </c>
      <c r="BN12" s="3">
        <v>1.1674937965260499E-3</v>
      </c>
      <c r="BO12" s="13">
        <v>3.0088431570401601</v>
      </c>
      <c r="BP12" s="13">
        <v>3.0088431570401601</v>
      </c>
      <c r="BQ12" s="13">
        <v>18.854273704132599</v>
      </c>
      <c r="BR12" s="10">
        <v>0.13761975131109799</v>
      </c>
      <c r="BS12" s="10">
        <v>0.13761975131109799</v>
      </c>
      <c r="BT12" s="10">
        <v>0.86238024868890195</v>
      </c>
      <c r="BU12" s="10">
        <v>0.335364689133967</v>
      </c>
      <c r="BV12" s="10">
        <v>3.2265458274215099E-2</v>
      </c>
      <c r="BW12">
        <v>14.531036236398799</v>
      </c>
      <c r="BX12">
        <v>1.16045718346275</v>
      </c>
      <c r="BY12">
        <v>0.22996921823480601</v>
      </c>
      <c r="BZ12">
        <v>1.1624102446508499E-2</v>
      </c>
      <c r="CA12">
        <v>0.75166775761148397</v>
      </c>
      <c r="CB12">
        <v>14.4706092374403</v>
      </c>
    </row>
    <row r="13" spans="1:80" x14ac:dyDescent="0.2">
      <c r="A13" t="s">
        <v>139</v>
      </c>
      <c r="B13">
        <v>12.323514942771</v>
      </c>
      <c r="C13">
        <v>2.33421541918133</v>
      </c>
      <c r="D13">
        <v>0</v>
      </c>
      <c r="E13">
        <v>14.652963103285099</v>
      </c>
      <c r="F13">
        <v>13.866966696531099</v>
      </c>
      <c r="G13">
        <v>15.592200302032399</v>
      </c>
      <c r="H13">
        <v>1.6101647106978001</v>
      </c>
      <c r="I13">
        <v>3.2413286382994499</v>
      </c>
      <c r="J13">
        <v>2.3407607929631098</v>
      </c>
      <c r="K13">
        <v>1.57481457578171</v>
      </c>
      <c r="L13">
        <v>4.0869289784764602</v>
      </c>
      <c r="M13">
        <v>0</v>
      </c>
      <c r="N13">
        <v>6.5448146352829699</v>
      </c>
      <c r="O13">
        <v>23.538538531531099</v>
      </c>
      <c r="P13">
        <v>21.113583119396399</v>
      </c>
      <c r="Q13">
        <v>26.594668502780799</v>
      </c>
      <c r="R13">
        <v>1000</v>
      </c>
      <c r="S13" s="10">
        <v>8.9137319814470595E-2</v>
      </c>
      <c r="T13" s="6">
        <v>10.160212599999999</v>
      </c>
      <c r="U13" s="6">
        <v>66.56</v>
      </c>
      <c r="V13" s="4">
        <v>1647.5937221434101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31.504999999999999</v>
      </c>
      <c r="AB13" s="8">
        <v>33</v>
      </c>
      <c r="AC13" s="6">
        <v>8.4809999999999999</v>
      </c>
      <c r="AD13">
        <v>29</v>
      </c>
      <c r="AE13">
        <v>21</v>
      </c>
      <c r="AF13">
        <v>18.868329578053899</v>
      </c>
      <c r="AG13" t="s">
        <v>44</v>
      </c>
      <c r="AH13" t="s">
        <v>43</v>
      </c>
      <c r="AI13" s="12" t="s">
        <v>161</v>
      </c>
      <c r="AJ13" s="4">
        <v>42149</v>
      </c>
      <c r="AK13" s="6">
        <v>5.8016517549896802</v>
      </c>
      <c r="AL13" s="12">
        <v>0.41516828655555399</v>
      </c>
      <c r="AM13" s="2">
        <v>3.70069883355282E-2</v>
      </c>
      <c r="AN13" s="2">
        <v>2.8187695513658502E-3</v>
      </c>
      <c r="AO13">
        <v>0.87662602653189703</v>
      </c>
      <c r="AP13">
        <v>0.12362121589990201</v>
      </c>
      <c r="AQ13">
        <v>0</v>
      </c>
      <c r="AR13" s="3">
        <v>7.4797049643639899E-3</v>
      </c>
      <c r="AS13" s="2">
        <v>1.4167421177987199E-3</v>
      </c>
      <c r="AT13" s="2">
        <v>3.5823280654901399E-4</v>
      </c>
      <c r="AU13" s="2">
        <v>2.74287546390825E-3</v>
      </c>
      <c r="AV13" s="2">
        <v>0</v>
      </c>
      <c r="AW13" s="2">
        <v>8.8935536147968404E-3</v>
      </c>
      <c r="AX13" s="2">
        <v>1.42866158174657E-2</v>
      </c>
      <c r="AY13" s="3">
        <v>-1.4718163704703E-3</v>
      </c>
      <c r="AZ13" s="3">
        <v>1.8549050838053899E-3</v>
      </c>
      <c r="BA13" s="2">
        <v>1.2814799446995401E-2</v>
      </c>
      <c r="BB13" s="2">
        <v>1.6141520901271099E-2</v>
      </c>
      <c r="BC13" s="3">
        <v>1.4207148045684099E-3</v>
      </c>
      <c r="BD13" s="3">
        <v>9.5582700675320902E-4</v>
      </c>
      <c r="BE13" s="3">
        <v>2.4805441557277002E-3</v>
      </c>
      <c r="BF13" s="3">
        <v>0</v>
      </c>
      <c r="BG13" s="3">
        <v>3.97234739810044E-3</v>
      </c>
      <c r="BH13" s="3">
        <v>9.4901421148781704E-4</v>
      </c>
      <c r="BI13" s="3">
        <v>7.4746731832309198E-4</v>
      </c>
      <c r="BJ13">
        <v>0.97391463283786694</v>
      </c>
      <c r="BK13" s="8">
        <v>7265</v>
      </c>
      <c r="BL13" s="3">
        <v>4.5423262216104602E-3</v>
      </c>
      <c r="BM13" s="3">
        <v>7.2561601642710501E-4</v>
      </c>
      <c r="BN13" s="3">
        <v>1.1673778389538899E-3</v>
      </c>
      <c r="BO13" s="13">
        <v>4.6749762121444398</v>
      </c>
      <c r="BP13" s="13">
        <v>4.6749762121444398</v>
      </c>
      <c r="BQ13" s="13">
        <v>18.868329578053899</v>
      </c>
      <c r="BR13" s="10">
        <v>0.198605027613212</v>
      </c>
      <c r="BS13" s="10">
        <v>0.198605027613212</v>
      </c>
      <c r="BT13" s="10">
        <v>0.80159702019922396</v>
      </c>
      <c r="BU13" s="10">
        <v>0.377490186298645</v>
      </c>
      <c r="BV13" s="10">
        <v>9.9441022324500097E-2</v>
      </c>
      <c r="BW13">
        <v>14.652963103285099</v>
      </c>
      <c r="BX13">
        <v>1.15801499978832</v>
      </c>
      <c r="BY13">
        <v>0.22678509595917501</v>
      </c>
      <c r="BZ13">
        <v>1.1624102446508499E-2</v>
      </c>
      <c r="CA13">
        <v>0.75166775761148397</v>
      </c>
      <c r="CB13">
        <v>14.4706092374403</v>
      </c>
    </row>
    <row r="14" spans="1:80" x14ac:dyDescent="0.2">
      <c r="A14" t="s">
        <v>140</v>
      </c>
      <c r="B14">
        <v>11.865097998856299</v>
      </c>
      <c r="C14">
        <v>38.563676407997399</v>
      </c>
      <c r="D14">
        <v>0</v>
      </c>
      <c r="E14">
        <v>50.428774406853698</v>
      </c>
      <c r="F14">
        <v>44.317170348309098</v>
      </c>
      <c r="G14">
        <v>57.098028728107401</v>
      </c>
      <c r="H14">
        <v>32.526560110436897</v>
      </c>
      <c r="I14">
        <v>45.247265036178597</v>
      </c>
      <c r="J14">
        <v>7.8610178047646802</v>
      </c>
      <c r="K14">
        <v>5.7151654328955903</v>
      </c>
      <c r="L14">
        <v>10.1556598691815</v>
      </c>
      <c r="M14">
        <v>0</v>
      </c>
      <c r="N14">
        <v>18.426942841558098</v>
      </c>
      <c r="O14">
        <v>76.716735053176393</v>
      </c>
      <c r="P14">
        <v>66.9609646625793</v>
      </c>
      <c r="Q14">
        <v>87.264350240004703</v>
      </c>
      <c r="R14">
        <v>1000</v>
      </c>
      <c r="S14" s="10">
        <v>6.0559768500467202E-2</v>
      </c>
      <c r="T14" s="6">
        <v>92.241416200000003</v>
      </c>
      <c r="U14" s="6">
        <v>105.315263882</v>
      </c>
      <c r="V14" s="4">
        <v>9808.2156482955797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 s="6">
        <v>29.484000000000002</v>
      </c>
      <c r="AD14">
        <v>23</v>
      </c>
      <c r="AE14">
        <v>17</v>
      </c>
      <c r="AF14">
        <v>30.292040840414401</v>
      </c>
      <c r="AG14" t="s">
        <v>44</v>
      </c>
      <c r="AH14" t="s">
        <v>43</v>
      </c>
      <c r="AI14" s="12" t="s">
        <v>161</v>
      </c>
      <c r="AJ14" s="4">
        <v>22095</v>
      </c>
      <c r="AK14" s="6">
        <v>1.72603702835716</v>
      </c>
      <c r="AL14" s="12">
        <v>0.76115822702748404</v>
      </c>
      <c r="AM14" s="2">
        <v>4.6095566021010399E-2</v>
      </c>
      <c r="AN14" s="2">
        <v>1.91506803033996E-3</v>
      </c>
      <c r="AO14">
        <v>7.2742718529213005E-2</v>
      </c>
      <c r="AP14">
        <v>0.92725728147078601</v>
      </c>
      <c r="AQ14">
        <v>0</v>
      </c>
      <c r="AR14" s="3">
        <v>1.20971014752497E-3</v>
      </c>
      <c r="AS14" s="2">
        <v>3.9317728923200001E-3</v>
      </c>
      <c r="AT14" s="2">
        <v>3.12311544534779E-3</v>
      </c>
      <c r="AU14" s="2">
        <v>4.8270237787177801E-3</v>
      </c>
      <c r="AV14" s="2">
        <v>0</v>
      </c>
      <c r="AW14" s="2">
        <v>5.1414830398449603E-3</v>
      </c>
      <c r="AX14" s="2">
        <v>7.8216811093981108E-3</v>
      </c>
      <c r="AY14" s="3">
        <v>-9.9465292571258791E-4</v>
      </c>
      <c r="AZ14" s="3">
        <v>1.07538573427076E-3</v>
      </c>
      <c r="BA14" s="2">
        <v>6.8270281836855197E-3</v>
      </c>
      <c r="BB14" s="2">
        <v>8.8970668436688695E-3</v>
      </c>
      <c r="BC14" s="3">
        <v>8.0147277411572097E-4</v>
      </c>
      <c r="BD14" s="3">
        <v>5.8269165746664101E-4</v>
      </c>
      <c r="BE14" s="3">
        <v>1.03542379504536E-3</v>
      </c>
      <c r="BF14" s="3">
        <v>0</v>
      </c>
      <c r="BG14" s="3">
        <v>1.8787252954374301E-3</v>
      </c>
      <c r="BH14" s="3">
        <v>2.89658293731614E-3</v>
      </c>
      <c r="BI14" s="3">
        <v>2.8060647205250099E-3</v>
      </c>
      <c r="BJ14">
        <v>0.99262555584953305</v>
      </c>
      <c r="BK14" s="8">
        <v>12801</v>
      </c>
      <c r="BL14" s="3">
        <v>3.3591125693305198E-3</v>
      </c>
      <c r="BM14" s="3">
        <v>1.8307357963365399E-3</v>
      </c>
      <c r="BN14" s="3">
        <v>2.3032575580032798E-3</v>
      </c>
      <c r="BO14" s="13">
        <v>46.424694212761999</v>
      </c>
      <c r="BP14" s="13">
        <v>46.424694212761999</v>
      </c>
      <c r="BQ14" s="13">
        <v>30.292040840414401</v>
      </c>
      <c r="BR14" s="10">
        <v>0.60514344905709605</v>
      </c>
      <c r="BS14" s="10">
        <v>0.60514344905709605</v>
      </c>
      <c r="BT14" s="10">
        <v>0.39485655094290401</v>
      </c>
      <c r="BU14" s="10">
        <v>0.34266284629701099</v>
      </c>
      <c r="BV14" s="10">
        <v>0.102467666981694</v>
      </c>
      <c r="BW14">
        <v>50.428774406853698</v>
      </c>
      <c r="BX14">
        <v>4.2188521950551197</v>
      </c>
      <c r="BY14">
        <v>0.76620698760218497</v>
      </c>
      <c r="BZ14">
        <v>5.7422929733044704E-3</v>
      </c>
      <c r="CA14">
        <v>0.86184147292369595</v>
      </c>
      <c r="CB14">
        <v>16.591600548263699</v>
      </c>
    </row>
    <row r="15" spans="1:80" x14ac:dyDescent="0.2">
      <c r="A15" t="s">
        <v>128</v>
      </c>
      <c r="B15">
        <v>10.521229967208701</v>
      </c>
      <c r="C15">
        <v>5.8756531880135503</v>
      </c>
      <c r="D15">
        <v>0</v>
      </c>
      <c r="E15">
        <v>16.396883155222302</v>
      </c>
      <c r="F15">
        <v>15.310484315841601</v>
      </c>
      <c r="G15">
        <v>17.4827416933542</v>
      </c>
      <c r="H15">
        <v>4.8262135169559999</v>
      </c>
      <c r="I15">
        <v>6.9486755635020296</v>
      </c>
      <c r="J15">
        <v>2.3796097327079799</v>
      </c>
      <c r="K15">
        <v>1.7543700231239601</v>
      </c>
      <c r="L15">
        <v>3.2773996086919901</v>
      </c>
      <c r="M15">
        <v>0</v>
      </c>
      <c r="N15">
        <v>1.34141385231209</v>
      </c>
      <c r="O15">
        <v>20.1179067402424</v>
      </c>
      <c r="P15">
        <v>18.5866546734445</v>
      </c>
      <c r="Q15">
        <v>21.719916485311501</v>
      </c>
      <c r="R15">
        <v>1000</v>
      </c>
      <c r="S15" s="10">
        <v>6.6603813000960299E-2</v>
      </c>
      <c r="T15" s="6">
        <v>8.3545392399999994</v>
      </c>
      <c r="U15" s="6">
        <v>52.406999999999996</v>
      </c>
      <c r="V15" s="4">
        <v>334.69349154708101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41.341999999999999</v>
      </c>
      <c r="AB15" s="8">
        <v>42</v>
      </c>
      <c r="AC15" s="6">
        <v>24.93</v>
      </c>
      <c r="AD15">
        <v>52</v>
      </c>
      <c r="AE15">
        <v>25</v>
      </c>
      <c r="AF15">
        <v>11.8626438195208</v>
      </c>
      <c r="AG15" t="s">
        <v>44</v>
      </c>
      <c r="AH15" t="s">
        <v>43</v>
      </c>
      <c r="AI15" s="12" t="s">
        <v>161</v>
      </c>
      <c r="AJ15" s="4">
        <v>18912</v>
      </c>
      <c r="AK15" s="6">
        <v>3.5211320052131798</v>
      </c>
      <c r="AL15" s="12">
        <v>0.53291610689503099</v>
      </c>
      <c r="AM15" s="2">
        <v>3.5494244728836402E-2</v>
      </c>
      <c r="AN15" s="2">
        <v>2.1061974993496898E-3</v>
      </c>
      <c r="AO15">
        <v>0.70704276501959396</v>
      </c>
      <c r="AP15">
        <v>0.29295723498040599</v>
      </c>
      <c r="AQ15">
        <v>0</v>
      </c>
      <c r="AR15" s="3">
        <v>3.1435418473707399E-2</v>
      </c>
      <c r="AS15" s="2">
        <v>1.75553255035048E-2</v>
      </c>
      <c r="AT15" s="2">
        <v>1.1671614082420401E-2</v>
      </c>
      <c r="AU15" s="2">
        <v>2.35712539840611E-2</v>
      </c>
      <c r="AV15" s="2">
        <v>0</v>
      </c>
      <c r="AW15" s="2">
        <v>4.89907439772123E-2</v>
      </c>
      <c r="AX15" s="2">
        <v>6.0108449217968797E-2</v>
      </c>
      <c r="AY15" s="3">
        <v>-4.5750876711700703E-3</v>
      </c>
      <c r="AZ15" s="3">
        <v>4.7864980512888197E-3</v>
      </c>
      <c r="BA15" s="2">
        <v>5.55333615467987E-2</v>
      </c>
      <c r="BB15" s="2">
        <v>6.4894947269257597E-2</v>
      </c>
      <c r="BC15" s="3">
        <v>7.10981776702175E-3</v>
      </c>
      <c r="BD15" s="3">
        <v>5.24172135829292E-3</v>
      </c>
      <c r="BE15" s="3">
        <v>9.7922418316012203E-3</v>
      </c>
      <c r="BF15" s="3">
        <v>0</v>
      </c>
      <c r="BG15" s="3">
        <v>4.0078874737347501E-3</v>
      </c>
      <c r="BH15" s="3">
        <v>2.9610829103214899E-3</v>
      </c>
      <c r="BI15" s="3">
        <v>2.1860194585448401E-3</v>
      </c>
      <c r="BJ15">
        <v>0.94896391761686805</v>
      </c>
      <c r="BK15" s="8">
        <v>5371</v>
      </c>
      <c r="BL15" s="3">
        <v>7.8197728542170903E-3</v>
      </c>
      <c r="BM15" s="3">
        <v>2.7142079477408799E-3</v>
      </c>
      <c r="BN15" s="3">
        <v>4.64159374418172E-3</v>
      </c>
      <c r="BO15" s="13">
        <v>8.2552629207215293</v>
      </c>
      <c r="BP15" s="13">
        <v>8.2552629207215293</v>
      </c>
      <c r="BQ15" s="13">
        <v>11.8626438195208</v>
      </c>
      <c r="BR15" s="10">
        <v>0.41033943936711698</v>
      </c>
      <c r="BS15" s="10">
        <v>0.41033943936711698</v>
      </c>
      <c r="BT15" s="10">
        <v>0.58966056063288297</v>
      </c>
      <c r="BU15" s="10">
        <v>0.18495841559177001</v>
      </c>
      <c r="BV15" s="10">
        <v>0.118280085553533</v>
      </c>
      <c r="BW15">
        <v>16.396883155222302</v>
      </c>
      <c r="BX15">
        <v>1.4789262366226399</v>
      </c>
      <c r="BY15">
        <v>6.23149304686429E-2</v>
      </c>
      <c r="BZ15">
        <v>2.5156408054956999E-2</v>
      </c>
      <c r="CA15">
        <v>0.85882639950106898</v>
      </c>
      <c r="CB15">
        <v>16.533556354031301</v>
      </c>
    </row>
    <row r="16" spans="1:80" x14ac:dyDescent="0.2">
      <c r="A16" t="s">
        <v>141</v>
      </c>
      <c r="B16">
        <v>3.4975280657246199</v>
      </c>
      <c r="C16">
        <v>15.107275270623999</v>
      </c>
      <c r="D16">
        <v>0.76622969250692397</v>
      </c>
      <c r="E16">
        <v>19.3710330288555</v>
      </c>
      <c r="F16">
        <v>17.273831628459</v>
      </c>
      <c r="G16">
        <v>21.662231954021301</v>
      </c>
      <c r="H16">
        <v>13.0326876891917</v>
      </c>
      <c r="I16">
        <v>17.3559753707111</v>
      </c>
      <c r="J16">
        <v>2.5464279303050699</v>
      </c>
      <c r="K16">
        <v>2.0894697442583898</v>
      </c>
      <c r="L16">
        <v>3.03486597455269</v>
      </c>
      <c r="M16">
        <v>5.4761801590689503</v>
      </c>
      <c r="N16">
        <v>2.3022603998723601</v>
      </c>
      <c r="O16">
        <v>29.695901518101898</v>
      </c>
      <c r="P16">
        <v>26.653133824253501</v>
      </c>
      <c r="Q16">
        <v>32.977634484774299</v>
      </c>
      <c r="R16">
        <v>1000</v>
      </c>
      <c r="S16" s="10">
        <v>6.3808612427370695E-2</v>
      </c>
      <c r="T16" s="6">
        <v>10.8892576122736</v>
      </c>
      <c r="U16" s="6">
        <v>54.883000000000003</v>
      </c>
      <c r="V16">
        <v>545.36825932933698</v>
      </c>
      <c r="W16">
        <v>7474</v>
      </c>
      <c r="X16">
        <v>12982</v>
      </c>
      <c r="Y16">
        <v>1.62246508803886</v>
      </c>
      <c r="Z16">
        <v>80</v>
      </c>
      <c r="AA16">
        <v>80</v>
      </c>
      <c r="AB16">
        <v>49</v>
      </c>
      <c r="AC16" s="6">
        <v>40.026000000000003</v>
      </c>
      <c r="AD16">
        <v>49</v>
      </c>
      <c r="AE16">
        <v>23</v>
      </c>
      <c r="AF16">
        <v>5.79978846559698</v>
      </c>
      <c r="AG16" t="s">
        <v>44</v>
      </c>
      <c r="AH16" t="s">
        <v>43</v>
      </c>
      <c r="AI16" s="12" t="s">
        <v>161</v>
      </c>
      <c r="AJ16" s="4">
        <v>8001</v>
      </c>
      <c r="AK16" s="6">
        <v>1.7370820668692999</v>
      </c>
      <c r="AL16" s="12">
        <v>0.75873449917936997</v>
      </c>
      <c r="AM16" s="2">
        <v>4.84137955934116E-2</v>
      </c>
      <c r="AN16" s="2">
        <v>2.0178054960541701E-3</v>
      </c>
      <c r="AO16">
        <v>0.15348609975677999</v>
      </c>
      <c r="AP16">
        <v>0.83106983135387102</v>
      </c>
      <c r="AQ16">
        <v>1.5444068889349899E-2</v>
      </c>
      <c r="AR16" s="3">
        <v>6.4131492911334602E-3</v>
      </c>
      <c r="AS16" s="2">
        <v>2.7701053393173299E-2</v>
      </c>
      <c r="AT16" s="2">
        <v>2.26874256598085E-2</v>
      </c>
      <c r="AU16" s="2">
        <v>3.31354564941665E-2</v>
      </c>
      <c r="AV16" s="2">
        <v>1.4049766912529701E-3</v>
      </c>
      <c r="AW16" s="2">
        <v>3.5519179375559803E-2</v>
      </c>
      <c r="AX16" s="2">
        <v>5.4451099802948301E-2</v>
      </c>
      <c r="AY16" s="3">
        <v>-5.5792900334723904E-3</v>
      </c>
      <c r="AZ16" s="3">
        <v>6.0174623486670999E-3</v>
      </c>
      <c r="BA16" s="2">
        <v>4.8871809769475902E-2</v>
      </c>
      <c r="BB16" s="2">
        <v>6.0468562151615397E-2</v>
      </c>
      <c r="BC16" s="3">
        <v>4.6691898304395702E-3</v>
      </c>
      <c r="BD16" s="3">
        <v>3.8313006092945399E-3</v>
      </c>
      <c r="BE16" s="3">
        <v>5.5648012560995004E-3</v>
      </c>
      <c r="BF16" s="3">
        <v>1.01288491350835E-2</v>
      </c>
      <c r="BG16" s="3">
        <v>4.2214785339791299E-3</v>
      </c>
      <c r="BH16" s="3">
        <v>9.9987501562304702E-3</v>
      </c>
      <c r="BI16" s="3">
        <v>9.9987501562304702E-3</v>
      </c>
      <c r="BJ16">
        <v>0.98977759517274699</v>
      </c>
      <c r="BK16" s="8">
        <v>4606</v>
      </c>
      <c r="BL16" s="3">
        <v>1.0638297872340399E-2</v>
      </c>
      <c r="BM16" s="3">
        <v>5.3553652662563598E-3</v>
      </c>
      <c r="BN16" s="3">
        <v>8.6899696048632208E-3</v>
      </c>
      <c r="BO16" s="13">
        <v>17.653703200929002</v>
      </c>
      <c r="BP16" s="13">
        <v>23.129883359998001</v>
      </c>
      <c r="BQ16" s="13">
        <v>5.79978846559698</v>
      </c>
      <c r="BR16" s="10">
        <v>0.59448255647548298</v>
      </c>
      <c r="BS16" s="10">
        <v>0.77889115643370199</v>
      </c>
      <c r="BT16" s="10">
        <v>0.19530658454293101</v>
      </c>
      <c r="BU16" s="10">
        <v>0.34768728040500801</v>
      </c>
      <c r="BV16" s="10">
        <v>8.5750508643773399E-2</v>
      </c>
      <c r="BW16">
        <v>19.3710330288555</v>
      </c>
      <c r="BX16">
        <v>5.4819129263394002</v>
      </c>
      <c r="BY16">
        <v>0.118403877405414</v>
      </c>
      <c r="BZ16">
        <v>1.2445877510359899E-2</v>
      </c>
      <c r="CA16">
        <v>0.77093860094140998</v>
      </c>
      <c r="CB16">
        <v>14.8415987347009</v>
      </c>
    </row>
    <row r="17" spans="1:80" x14ac:dyDescent="0.2">
      <c r="A17" t="s">
        <v>142</v>
      </c>
      <c r="B17">
        <v>22.1139478446723</v>
      </c>
      <c r="C17">
        <v>104.26829475296</v>
      </c>
      <c r="D17">
        <v>0</v>
      </c>
      <c r="E17">
        <v>126.382242597633</v>
      </c>
      <c r="F17">
        <v>121.42640351586201</v>
      </c>
      <c r="G17">
        <v>131.921733997225</v>
      </c>
      <c r="H17">
        <v>99.341078939429806</v>
      </c>
      <c r="I17">
        <v>109.748701186647</v>
      </c>
      <c r="J17">
        <v>75.413548355076699</v>
      </c>
      <c r="K17">
        <v>68.741611854984797</v>
      </c>
      <c r="L17">
        <v>83.1228675253153</v>
      </c>
      <c r="M17">
        <v>0</v>
      </c>
      <c r="N17">
        <v>19.138893784915801</v>
      </c>
      <c r="O17">
        <v>220.93468473762499</v>
      </c>
      <c r="P17">
        <v>209.17155983650801</v>
      </c>
      <c r="Q17">
        <v>234.08095047934199</v>
      </c>
      <c r="R17">
        <v>1000</v>
      </c>
      <c r="S17" s="10">
        <v>6.6013153124641399E-2</v>
      </c>
      <c r="T17" s="6">
        <v>16.353133799999998</v>
      </c>
      <c r="U17" s="6">
        <v>57.752000000000002</v>
      </c>
      <c r="V17" s="4">
        <v>3382.5237241752802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998.27</v>
      </c>
      <c r="AB17" s="8">
        <v>540</v>
      </c>
      <c r="AC17" s="6">
        <v>166.898</v>
      </c>
      <c r="AD17">
        <v>681</v>
      </c>
      <c r="AE17">
        <v>278</v>
      </c>
      <c r="AF17">
        <v>41.252841629588097</v>
      </c>
      <c r="AG17" t="s">
        <v>44</v>
      </c>
      <c r="AH17" t="s">
        <v>43</v>
      </c>
      <c r="AI17" s="12" t="s">
        <v>161</v>
      </c>
      <c r="AJ17" s="4">
        <v>83641</v>
      </c>
      <c r="AK17" s="6">
        <v>8.8941939600170201</v>
      </c>
      <c r="AL17" s="12">
        <v>0.33531015156350102</v>
      </c>
      <c r="AM17" s="2">
        <v>2.2134880379408101E-2</v>
      </c>
      <c r="AN17" s="2">
        <v>2.0875191940332798E-3</v>
      </c>
      <c r="AO17">
        <v>0.35437788159738298</v>
      </c>
      <c r="AP17">
        <v>0.64562211840261696</v>
      </c>
      <c r="AQ17">
        <v>0</v>
      </c>
      <c r="AR17" s="3">
        <v>6.5377066498074898E-3</v>
      </c>
      <c r="AS17" s="2">
        <v>3.08255915569027E-2</v>
      </c>
      <c r="AT17" s="2">
        <v>2.6481349340618399E-2</v>
      </c>
      <c r="AU17" s="2">
        <v>3.5657572515852803E-2</v>
      </c>
      <c r="AV17" s="2">
        <v>0</v>
      </c>
      <c r="AW17" s="2">
        <v>3.7363298206710201E-2</v>
      </c>
      <c r="AX17" s="2">
        <v>6.5316521849818898E-2</v>
      </c>
      <c r="AY17" s="3">
        <v>-3.4776178558764501E-3</v>
      </c>
      <c r="AZ17" s="3">
        <v>3.8865258054980299E-3</v>
      </c>
      <c r="BA17" s="2">
        <v>6.1838903993942498E-2</v>
      </c>
      <c r="BB17" s="2">
        <v>6.9203047655316902E-2</v>
      </c>
      <c r="BC17" s="3">
        <v>2.2295053783684599E-2</v>
      </c>
      <c r="BD17" s="3">
        <v>2.0322580848045699E-2</v>
      </c>
      <c r="BE17" s="3">
        <v>2.4574215675481299E-2</v>
      </c>
      <c r="BF17" s="3">
        <v>0</v>
      </c>
      <c r="BG17" s="3">
        <v>5.6581698594241796E-3</v>
      </c>
      <c r="BH17" s="3">
        <v>1.2577563635059401E-2</v>
      </c>
      <c r="BI17" s="3">
        <v>1.1935175332671801E-2</v>
      </c>
      <c r="BJ17">
        <v>0.77523789175104096</v>
      </c>
      <c r="BK17" s="8">
        <v>9404</v>
      </c>
      <c r="BL17" s="3">
        <v>5.7422373458102902E-2</v>
      </c>
      <c r="BM17" s="3">
        <v>9.7237240736425101E-3</v>
      </c>
      <c r="BN17" s="3">
        <v>1.77475542322416E-2</v>
      </c>
      <c r="BO17" s="13">
        <v>179.68184310803699</v>
      </c>
      <c r="BP17" s="13">
        <v>179.68184310803699</v>
      </c>
      <c r="BQ17" s="13">
        <v>41.252841629588097</v>
      </c>
      <c r="BR17" s="10">
        <v>0.81327982393973897</v>
      </c>
      <c r="BS17" s="10">
        <v>0.81327982393973897</v>
      </c>
      <c r="BT17" s="10">
        <v>0.18672017606026101</v>
      </c>
      <c r="BU17" s="10">
        <v>0.42796449391666402</v>
      </c>
      <c r="BV17" s="10">
        <v>0.34133725910831902</v>
      </c>
      <c r="BW17">
        <v>126.382242597633</v>
      </c>
      <c r="BX17">
        <v>4.4305303397586497</v>
      </c>
      <c r="BY17">
        <v>0.35968988985275102</v>
      </c>
      <c r="BZ17">
        <v>1.61574544658394E-2</v>
      </c>
      <c r="CA17">
        <v>0.64011732758480899</v>
      </c>
      <c r="CB17">
        <v>12.323114327835899</v>
      </c>
    </row>
    <row r="18" spans="1:80" x14ac:dyDescent="0.2">
      <c r="A18" t="s">
        <v>143</v>
      </c>
      <c r="B18">
        <v>13.5987133956677</v>
      </c>
      <c r="C18">
        <v>57.828689204029097</v>
      </c>
      <c r="D18">
        <v>0</v>
      </c>
      <c r="E18">
        <v>71.427402599696805</v>
      </c>
      <c r="F18">
        <v>68.023935560032101</v>
      </c>
      <c r="G18">
        <v>75.593385770156601</v>
      </c>
      <c r="H18">
        <v>54.443137115725897</v>
      </c>
      <c r="I18">
        <v>61.984714007410503</v>
      </c>
      <c r="J18">
        <v>37.064930632904598</v>
      </c>
      <c r="K18">
        <v>33.866800201759197</v>
      </c>
      <c r="L18">
        <v>41.1232285917715</v>
      </c>
      <c r="M18">
        <v>0</v>
      </c>
      <c r="N18">
        <v>14.540757785619</v>
      </c>
      <c r="O18">
        <v>123.03309101822001</v>
      </c>
      <c r="P18">
        <v>115.900885277683</v>
      </c>
      <c r="Q18">
        <v>131.057179379709</v>
      </c>
      <c r="R18">
        <v>1000</v>
      </c>
      <c r="S18" s="10">
        <v>7.8048518297724204E-2</v>
      </c>
      <c r="T18">
        <v>16.353133799999998</v>
      </c>
      <c r="U18" s="6">
        <v>53.377000000000002</v>
      </c>
      <c r="V18">
        <v>2569.8694360332902</v>
      </c>
      <c r="W18">
        <v>7955</v>
      </c>
      <c r="X18">
        <v>100870</v>
      </c>
      <c r="Y18">
        <v>1.82507693639206</v>
      </c>
      <c r="Z18">
        <v>922</v>
      </c>
      <c r="AA18">
        <v>875.62300000000005</v>
      </c>
      <c r="AB18">
        <v>447</v>
      </c>
      <c r="AC18" s="6">
        <v>117.76600000000001</v>
      </c>
      <c r="AD18">
        <v>558</v>
      </c>
      <c r="AE18">
        <v>202</v>
      </c>
      <c r="AF18">
        <v>28.139471181286702</v>
      </c>
      <c r="AG18" t="s">
        <v>44</v>
      </c>
      <c r="AH18" t="s">
        <v>43</v>
      </c>
      <c r="AI18" s="12" t="s">
        <v>161</v>
      </c>
      <c r="AJ18" s="4">
        <v>55268</v>
      </c>
      <c r="AK18" s="6">
        <v>12.681964203763201</v>
      </c>
      <c r="AL18" s="12">
        <v>0.28080622975595598</v>
      </c>
      <c r="AM18" s="2">
        <v>2.1916510161222699E-2</v>
      </c>
      <c r="AN18" s="2">
        <v>2.4681108582213598E-3</v>
      </c>
      <c r="AO18">
        <v>0.39312853260944502</v>
      </c>
      <c r="AP18">
        <v>0.60687146739055597</v>
      </c>
      <c r="AQ18">
        <v>0</v>
      </c>
      <c r="AR18" s="3">
        <v>5.2915969990514197E-3</v>
      </c>
      <c r="AS18" s="2">
        <v>2.25025786887019E-2</v>
      </c>
      <c r="AT18" s="2">
        <v>1.7811078887615898E-2</v>
      </c>
      <c r="AU18" s="2">
        <v>2.8261754453782099E-2</v>
      </c>
      <c r="AV18" s="2">
        <v>0</v>
      </c>
      <c r="AW18" s="2">
        <v>2.77941756877533E-2</v>
      </c>
      <c r="AX18" s="2">
        <v>4.7875230271669997E-2</v>
      </c>
      <c r="AY18" s="3">
        <v>-2.7753183257224101E-3</v>
      </c>
      <c r="AZ18" s="3">
        <v>3.1223719964054101E-3</v>
      </c>
      <c r="BA18" s="2">
        <v>4.5099911945947598E-2</v>
      </c>
      <c r="BB18" s="2">
        <v>5.0997602268075398E-2</v>
      </c>
      <c r="BC18" s="3">
        <v>1.4422884724492499E-2</v>
      </c>
      <c r="BD18" s="3">
        <v>1.31784127733875E-2</v>
      </c>
      <c r="BE18" s="3">
        <v>1.6002069216110502E-2</v>
      </c>
      <c r="BF18" s="3">
        <v>0</v>
      </c>
      <c r="BG18" s="3">
        <v>5.6581698594241796E-3</v>
      </c>
      <c r="BH18" s="3">
        <v>1.6682347832380401E-2</v>
      </c>
      <c r="BI18" s="3">
        <v>1.5843218498950599E-2</v>
      </c>
      <c r="BJ18">
        <v>0.73001320630507205</v>
      </c>
      <c r="BK18" s="8">
        <v>4358</v>
      </c>
      <c r="BL18" s="3">
        <v>0.102569986232217</v>
      </c>
      <c r="BM18" s="3">
        <v>1.4804022627278399E-2</v>
      </c>
      <c r="BN18" s="3">
        <v>2.70229463056448E-2</v>
      </c>
      <c r="BO18" s="13">
        <v>94.893619836933695</v>
      </c>
      <c r="BP18" s="13">
        <v>94.893619836933695</v>
      </c>
      <c r="BQ18" s="13">
        <v>28.139471181286702</v>
      </c>
      <c r="BR18" s="10">
        <v>0.77128392899879705</v>
      </c>
      <c r="BS18" s="10">
        <v>0.77128392899879705</v>
      </c>
      <c r="BT18" s="10">
        <v>0.228716071001203</v>
      </c>
      <c r="BU18" s="10">
        <v>0.41944285658410901</v>
      </c>
      <c r="BV18" s="10">
        <v>0.30125626595674798</v>
      </c>
      <c r="BW18">
        <v>71.427402599696805</v>
      </c>
      <c r="BX18">
        <v>3.8344013999380202</v>
      </c>
      <c r="BY18">
        <v>0.58969009546426998</v>
      </c>
      <c r="BZ18">
        <v>1.61574544658394E-2</v>
      </c>
      <c r="CA18">
        <v>0.64011732758480899</v>
      </c>
      <c r="CB18">
        <v>12.323114327835899</v>
      </c>
    </row>
    <row r="19" spans="1:80" x14ac:dyDescent="0.2">
      <c r="A19" t="s">
        <v>144</v>
      </c>
      <c r="B19">
        <v>8.9359118954532093</v>
      </c>
      <c r="C19">
        <v>46.347477142611197</v>
      </c>
      <c r="D19">
        <v>0</v>
      </c>
      <c r="E19">
        <v>55.283389038064399</v>
      </c>
      <c r="F19">
        <v>51.747709614192999</v>
      </c>
      <c r="G19">
        <v>59.277750682290602</v>
      </c>
      <c r="H19">
        <v>42.8264490453601</v>
      </c>
      <c r="I19">
        <v>50.351433912017797</v>
      </c>
      <c r="J19">
        <v>38.266763389073603</v>
      </c>
      <c r="K19">
        <v>31.933276616709101</v>
      </c>
      <c r="L19">
        <v>47.581528366737601</v>
      </c>
      <c r="M19">
        <v>0</v>
      </c>
      <c r="N19">
        <v>4.5981360022020601</v>
      </c>
      <c r="O19">
        <v>98.148288429339999</v>
      </c>
      <c r="P19">
        <v>89.889072872307906</v>
      </c>
      <c r="Q19">
        <v>108.48646784663801</v>
      </c>
      <c r="R19">
        <v>1000</v>
      </c>
      <c r="S19" s="10">
        <v>0.109847459841174</v>
      </c>
      <c r="T19">
        <v>16.353133799999998</v>
      </c>
      <c r="U19" s="6">
        <v>109.15900000000001</v>
      </c>
      <c r="V19">
        <v>812.65428865545005</v>
      </c>
      <c r="W19" s="11">
        <v>9209</v>
      </c>
      <c r="X19" s="11">
        <v>51783</v>
      </c>
      <c r="Y19">
        <v>1.82507693639206</v>
      </c>
      <c r="Z19">
        <v>130</v>
      </c>
      <c r="AA19">
        <v>124.43300000000001</v>
      </c>
      <c r="AB19">
        <v>93</v>
      </c>
      <c r="AC19" s="6">
        <v>49.043999999999997</v>
      </c>
      <c r="AD19">
        <v>123</v>
      </c>
      <c r="AE19">
        <v>76</v>
      </c>
      <c r="AF19">
        <v>13.5340478976553</v>
      </c>
      <c r="AG19" t="s">
        <v>44</v>
      </c>
      <c r="AH19" t="s">
        <v>43</v>
      </c>
      <c r="AI19" s="12" t="s">
        <v>161</v>
      </c>
      <c r="AJ19" s="4">
        <v>28373</v>
      </c>
      <c r="AK19" s="6">
        <v>5.6239841427155604</v>
      </c>
      <c r="AL19" s="12">
        <v>0.42167509967254901</v>
      </c>
      <c r="AM19" s="2">
        <v>4.63199385773033E-2</v>
      </c>
      <c r="AN19" s="2">
        <v>3.4736816828198698E-3</v>
      </c>
      <c r="AO19">
        <v>0.24043398199326099</v>
      </c>
      <c r="AP19">
        <v>0.75956601800673795</v>
      </c>
      <c r="AQ19">
        <v>0</v>
      </c>
      <c r="AR19" s="3">
        <v>1.0995957346435501E-2</v>
      </c>
      <c r="AS19" s="2">
        <v>5.7032218730173501E-2</v>
      </c>
      <c r="AT19" s="2">
        <v>4.6757127115743202E-2</v>
      </c>
      <c r="AU19" s="2">
        <v>6.87165965566362E-2</v>
      </c>
      <c r="AV19" s="2">
        <v>0</v>
      </c>
      <c r="AW19" s="2">
        <v>6.8028176076609007E-2</v>
      </c>
      <c r="AX19" s="2">
        <v>0.12077495904405799</v>
      </c>
      <c r="AY19" s="3">
        <v>-1.0163258438834E-2</v>
      </c>
      <c r="AZ19" s="3">
        <v>1.27214973963932E-2</v>
      </c>
      <c r="BA19" s="2">
        <v>0.110611700605224</v>
      </c>
      <c r="BB19" s="2">
        <v>0.13349645644045099</v>
      </c>
      <c r="BC19" s="3">
        <v>4.7088613108024799E-2</v>
      </c>
      <c r="BD19" s="3">
        <v>3.9295032417220502E-2</v>
      </c>
      <c r="BE19" s="3">
        <v>5.8550762644053803E-2</v>
      </c>
      <c r="BF19" s="3">
        <v>0</v>
      </c>
      <c r="BG19" s="3">
        <v>5.6581698594241796E-3</v>
      </c>
      <c r="BH19" s="3">
        <v>4.5818207450745397E-3</v>
      </c>
      <c r="BI19" s="3">
        <v>4.3856130828604702E-3</v>
      </c>
      <c r="BJ19">
        <v>0.92236359685959601</v>
      </c>
      <c r="BK19" s="8">
        <v>5045</v>
      </c>
      <c r="BL19" s="3">
        <v>1.8434093161546102E-2</v>
      </c>
      <c r="BM19" s="3">
        <v>5.3256596807471001E-3</v>
      </c>
      <c r="BN19" s="3">
        <v>9.7213082259662992E-3</v>
      </c>
      <c r="BO19" s="13">
        <v>84.6142405316848</v>
      </c>
      <c r="BP19" s="13">
        <v>84.6142405316848</v>
      </c>
      <c r="BQ19" s="13">
        <v>13.5340478976553</v>
      </c>
      <c r="BR19" s="10">
        <v>0.86210594445579802</v>
      </c>
      <c r="BS19" s="10">
        <v>0.86210594445579802</v>
      </c>
      <c r="BT19" s="10">
        <v>0.137894055544202</v>
      </c>
      <c r="BU19" s="10">
        <v>0.43673575003249598</v>
      </c>
      <c r="BV19" s="10">
        <v>0.38988670807265102</v>
      </c>
      <c r="BW19">
        <v>55.283389038064399</v>
      </c>
      <c r="BX19">
        <v>5.7064418846192604</v>
      </c>
      <c r="BY19">
        <v>0.16108112758284401</v>
      </c>
      <c r="BZ19">
        <v>1.61574544658394E-2</v>
      </c>
      <c r="CA19">
        <v>0.64011732758480899</v>
      </c>
      <c r="CB19">
        <v>12.323114327835899</v>
      </c>
    </row>
    <row r="20" spans="1:80" x14ac:dyDescent="0.2">
      <c r="A20" t="s">
        <v>112</v>
      </c>
      <c r="U20" s="4"/>
      <c r="V20" s="8"/>
      <c r="AI20" s="12">
        <v>1</v>
      </c>
      <c r="AJ20" s="4"/>
      <c r="AK20" s="6"/>
      <c r="AL20" s="6"/>
      <c r="AM20" s="6"/>
      <c r="AN20" s="6"/>
      <c r="AR20" s="3">
        <v>4.7999999999999996E-3</v>
      </c>
      <c r="AS20" s="2"/>
      <c r="AT20" s="2"/>
      <c r="AU20" s="2"/>
      <c r="AV20" s="2"/>
      <c r="AW20" s="2"/>
      <c r="AX20" s="2">
        <f>AR20+BG20</f>
        <v>9.7999999999999997E-3</v>
      </c>
      <c r="AY20" s="3">
        <v>-1.9599999999999999E-3</v>
      </c>
      <c r="AZ20" s="3">
        <v>2.0500000000000002E-3</v>
      </c>
      <c r="BA20" s="2"/>
      <c r="BB20" s="2"/>
      <c r="BC20" s="3"/>
      <c r="BD20" s="3"/>
      <c r="BE20" s="3"/>
      <c r="BF20" s="3"/>
      <c r="BG20" s="3">
        <v>5.0000000000000001E-3</v>
      </c>
      <c r="BH20" s="3"/>
      <c r="BI20" s="3"/>
      <c r="BK20" s="8"/>
      <c r="BL20" s="3"/>
      <c r="BM20" s="3"/>
      <c r="BN20" s="3"/>
      <c r="BP20"/>
      <c r="BQ20"/>
      <c r="BR20"/>
      <c r="BS20"/>
      <c r="BT20"/>
      <c r="BU20"/>
      <c r="BV20"/>
    </row>
    <row r="21" spans="1:80" x14ac:dyDescent="0.2">
      <c r="A21" t="s">
        <v>150</v>
      </c>
      <c r="U21" s="4"/>
      <c r="V21" s="8"/>
      <c r="AI21" s="12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8"/>
      <c r="BL21" s="3"/>
      <c r="BM21" s="3"/>
      <c r="BN21" s="3"/>
      <c r="BP21"/>
      <c r="BQ21"/>
      <c r="BR21"/>
      <c r="BS21"/>
      <c r="BT21"/>
      <c r="BU21"/>
      <c r="BV21"/>
    </row>
    <row r="22" spans="1:80" x14ac:dyDescent="0.2">
      <c r="A22" t="s">
        <v>151</v>
      </c>
      <c r="U22" s="4"/>
      <c r="V22" s="8"/>
      <c r="AI22" s="12"/>
      <c r="AJ22" s="4"/>
      <c r="AK22" s="6"/>
      <c r="AL22" s="6"/>
      <c r="AM22" s="6"/>
      <c r="AN22" s="6"/>
      <c r="AR22" s="3"/>
      <c r="AS22" s="2"/>
      <c r="AT22" s="2"/>
      <c r="AU22" s="2"/>
      <c r="AV22" s="2"/>
      <c r="AW22" s="2"/>
      <c r="AX22" s="2"/>
      <c r="AY22" s="3"/>
      <c r="AZ22" s="3"/>
      <c r="BA22" s="2"/>
      <c r="BB22" s="2"/>
      <c r="BC22" s="3"/>
      <c r="BD22" s="3"/>
      <c r="BE22" s="3"/>
      <c r="BF22" s="3"/>
      <c r="BG22" s="3"/>
      <c r="BH22" s="3"/>
      <c r="BI22" s="3"/>
      <c r="BK22" s="8"/>
      <c r="BL22" s="3"/>
      <c r="BM22" s="3"/>
      <c r="BN22" s="3"/>
      <c r="BP22"/>
      <c r="BQ22"/>
      <c r="BR22"/>
      <c r="BS22"/>
      <c r="BT22"/>
      <c r="BU22"/>
      <c r="BV22"/>
    </row>
    <row r="23" spans="1:80" x14ac:dyDescent="0.2">
      <c r="A23" t="s">
        <v>152</v>
      </c>
      <c r="U23" s="4"/>
      <c r="V23" s="8"/>
      <c r="AI23" s="12"/>
      <c r="AJ23" s="4"/>
      <c r="AK23" s="6"/>
      <c r="AL23" s="6"/>
      <c r="AM23" s="6"/>
      <c r="AN23" s="6"/>
      <c r="AR23" s="3"/>
      <c r="AS23" s="2"/>
      <c r="AT23" s="2"/>
      <c r="AU23" s="2"/>
      <c r="AV23" s="2"/>
      <c r="AW23" s="2"/>
      <c r="AX23" s="2"/>
      <c r="AY23" s="3"/>
      <c r="AZ23" s="3"/>
      <c r="BA23" s="2"/>
      <c r="BB23" s="2"/>
      <c r="BC23" s="3"/>
      <c r="BD23" s="3"/>
      <c r="BE23" s="3"/>
      <c r="BF23" s="3"/>
      <c r="BG23" s="3"/>
      <c r="BH23" s="3"/>
      <c r="BI23" s="3"/>
      <c r="BK23" s="8"/>
      <c r="BL23" s="3"/>
      <c r="BM23" s="3"/>
      <c r="BN23" s="3"/>
      <c r="BP23"/>
      <c r="BQ23"/>
      <c r="BR23"/>
      <c r="BS23"/>
      <c r="BT23"/>
      <c r="BU23"/>
      <c r="BV23"/>
    </row>
    <row r="24" spans="1:80" x14ac:dyDescent="0.2">
      <c r="A24" t="s">
        <v>154</v>
      </c>
      <c r="U24" s="4"/>
      <c r="V24" s="8"/>
      <c r="AI24" s="12"/>
      <c r="AJ24" s="4"/>
      <c r="AK24" s="6"/>
      <c r="AL24" s="6"/>
      <c r="AM24" s="6"/>
      <c r="AN24" s="6"/>
      <c r="AR24" s="3"/>
      <c r="AS24" s="2"/>
      <c r="AT24" s="2"/>
      <c r="AU24" s="2"/>
      <c r="AV24" s="2"/>
      <c r="AW24" s="2"/>
      <c r="AX24" s="2"/>
      <c r="AY24" s="3"/>
      <c r="AZ24" s="3"/>
      <c r="BA24" s="2"/>
      <c r="BB24" s="2"/>
      <c r="BC24" s="3"/>
      <c r="BD24" s="3"/>
      <c r="BE24" s="3"/>
      <c r="BF24" s="3"/>
      <c r="BG24" s="3"/>
      <c r="BH24" s="3"/>
      <c r="BI24" s="3"/>
      <c r="BK24" s="8"/>
      <c r="BL24" s="3"/>
      <c r="BM24" s="3"/>
      <c r="BN24" s="3"/>
      <c r="BP24"/>
      <c r="BQ24"/>
      <c r="BR24"/>
      <c r="BS24"/>
      <c r="BT24"/>
      <c r="BU24"/>
      <c r="BV24"/>
    </row>
    <row r="25" spans="1:80" x14ac:dyDescent="0.2">
      <c r="A25" t="s">
        <v>153</v>
      </c>
      <c r="U25" t="s">
        <v>121</v>
      </c>
      <c r="V25" s="15">
        <f>V26/V29</f>
        <v>0.23420564051133774</v>
      </c>
      <c r="AI25" s="12"/>
      <c r="AJ25" s="4"/>
      <c r="AK25" s="6"/>
      <c r="AL25" s="6"/>
      <c r="AM25" s="6"/>
      <c r="AN25" s="6"/>
      <c r="AR25" s="3"/>
      <c r="AS25" s="2"/>
      <c r="AT25" s="2"/>
      <c r="AU25" s="2"/>
      <c r="AV25" s="2"/>
      <c r="AW25" s="2"/>
      <c r="AX25" s="2"/>
      <c r="AY25" s="3"/>
      <c r="AZ25" s="3"/>
      <c r="BA25" s="2"/>
      <c r="BB25" s="2"/>
      <c r="BC25" s="3"/>
      <c r="BD25" s="3"/>
      <c r="BE25" s="3"/>
      <c r="BF25" s="3"/>
      <c r="BG25" s="3"/>
      <c r="BH25" s="3"/>
      <c r="BI25" s="3"/>
      <c r="BK25" s="8"/>
      <c r="BL25" s="3"/>
      <c r="BM25" s="3"/>
      <c r="BN25" s="3"/>
      <c r="BP25"/>
      <c r="BQ25"/>
      <c r="BR25"/>
      <c r="BS25"/>
      <c r="BT25"/>
      <c r="BU25"/>
      <c r="BV25"/>
    </row>
    <row r="26" spans="1:80" x14ac:dyDescent="0.2">
      <c r="A26" t="s">
        <v>65</v>
      </c>
      <c r="O26" s="11">
        <f t="shared" ref="O26:Q26" si="0">O3+O7+O13+O14+O15+O16</f>
        <v>721.79675795070705</v>
      </c>
      <c r="P26" s="11">
        <f t="shared" si="0"/>
        <v>680.38551383198899</v>
      </c>
      <c r="Q26" s="11">
        <f t="shared" si="0"/>
        <v>766.75384464636033</v>
      </c>
      <c r="V26" s="11">
        <f>V3+V7+V13+V14+V15+V16</f>
        <v>19972.261845089175</v>
      </c>
      <c r="W26" s="11">
        <f>W3+W7+W13+W14+W15+W16</f>
        <v>170569</v>
      </c>
      <c r="X26" s="11">
        <f>X3+X7+X13+X14+X15+X16</f>
        <v>549072</v>
      </c>
      <c r="AC26" s="11">
        <f>AC3+AC7+AC13+AC14+AC15+AC16</f>
        <v>601.36399999999992</v>
      </c>
      <c r="AD26" s="11"/>
      <c r="AE26" s="11"/>
      <c r="AI26" s="12">
        <v>1</v>
      </c>
      <c r="AJ26" s="11">
        <f>AJ3+AJ7+AJ13+AJ14+AJ15+AJ16</f>
        <v>316771</v>
      </c>
      <c r="AK26">
        <f>X26/W26</f>
        <v>3.219060907902374</v>
      </c>
      <c r="BK26" s="11">
        <f>BK3+BK7+BK13+BK14+BK15+BK16</f>
        <v>100159</v>
      </c>
      <c r="BN26" s="3">
        <f>AC26/BK26</f>
        <v>6.0040934913487545E-3</v>
      </c>
      <c r="BO26" s="3"/>
      <c r="BP26" s="13"/>
      <c r="BQ26" s="13"/>
      <c r="BR26" s="13"/>
      <c r="BS26" s="13"/>
      <c r="BT26" s="13"/>
      <c r="BU26" s="13"/>
      <c r="BV26" s="13"/>
    </row>
    <row r="27" spans="1:80" x14ac:dyDescent="0.2">
      <c r="A27" t="s">
        <v>66</v>
      </c>
      <c r="O27">
        <f t="shared" ref="O27:Q27" si="1">SUM(O2:O16)</f>
        <v>1375.4580201347983</v>
      </c>
      <c r="P27">
        <f t="shared" si="1"/>
        <v>1285.4029735832883</v>
      </c>
      <c r="Q27">
        <f t="shared" si="1"/>
        <v>1475.1590924042314</v>
      </c>
      <c r="V27">
        <f>SUM(V2:V16)</f>
        <v>35657.520886243627</v>
      </c>
      <c r="W27">
        <f t="shared" ref="W27:X27" si="2">SUM(W2:W16)</f>
        <v>398499</v>
      </c>
      <c r="X27">
        <f t="shared" si="2"/>
        <v>1714261</v>
      </c>
      <c r="AC27" s="6">
        <f>SUM(AC2:AC16)</f>
        <v>1240.4600000000005</v>
      </c>
      <c r="AI27" s="12">
        <v>1</v>
      </c>
      <c r="AJ27" s="4">
        <f>SUM(AJ2:AJ16)</f>
        <v>959573</v>
      </c>
      <c r="AK27" s="11">
        <f>AJ27/BK26</f>
        <v>9.5804970097544899</v>
      </c>
      <c r="AX27" s="2">
        <f>O27/$V27</f>
        <v>3.8574134879506963E-2</v>
      </c>
      <c r="AY27" s="2">
        <f t="shared" ref="AY27:AZ28" si="3">P27/$V27</f>
        <v>3.6048579419866118E-2</v>
      </c>
      <c r="AZ27" s="2">
        <f t="shared" si="3"/>
        <v>4.1370209025758026E-2</v>
      </c>
      <c r="BK27" s="6">
        <f>SUM(BK2:BK16)</f>
        <v>228449</v>
      </c>
      <c r="BN27" s="3">
        <f>AC27/BK27</f>
        <v>5.4299209013828056E-3</v>
      </c>
      <c r="BO27" s="3"/>
      <c r="BP27" s="13"/>
      <c r="BQ27" s="13"/>
      <c r="BR27" s="13"/>
      <c r="BS27" s="13"/>
      <c r="BT27" s="13"/>
      <c r="BU27" s="13"/>
      <c r="BV27" s="13"/>
    </row>
    <row r="28" spans="1:80" x14ac:dyDescent="0.2">
      <c r="A28" t="s">
        <v>157</v>
      </c>
      <c r="O28">
        <f>O2+O3+SUM(O7:O13)+O15+O16</f>
        <v>897.1367650354573</v>
      </c>
      <c r="P28">
        <f t="shared" ref="P28:Q28" si="4">P2+P3+SUM(P7:P13)+P15+P16</f>
        <v>846.98463027229184</v>
      </c>
      <c r="Q28">
        <f t="shared" si="4"/>
        <v>954.2604630467664</v>
      </c>
      <c r="V28">
        <f t="shared" ref="V28" si="5">V2+V3+SUM(V7:V13)+V15+V16</f>
        <v>13683.31244956396</v>
      </c>
      <c r="AX28" s="2">
        <f>O28/$V28</f>
        <v>6.5564297266634874E-2</v>
      </c>
      <c r="AY28" s="2">
        <f t="shared" si="3"/>
        <v>6.1899093029866632E-2</v>
      </c>
      <c r="AZ28" s="2">
        <f t="shared" si="3"/>
        <v>6.9738995332023962E-2</v>
      </c>
    </row>
    <row r="29" spans="1:80" x14ac:dyDescent="0.2">
      <c r="U29" t="s">
        <v>122</v>
      </c>
      <c r="V29">
        <v>85276.604788356199</v>
      </c>
      <c r="BQ29" s="1" t="s">
        <v>21</v>
      </c>
    </row>
    <row r="30" spans="1:80" x14ac:dyDescent="0.2">
      <c r="A30" t="s">
        <v>147</v>
      </c>
      <c r="W30" s="11">
        <f>SUM(W2:W6)</f>
        <v>162037</v>
      </c>
      <c r="X30" s="11">
        <f>SUM(X2:X6)</f>
        <v>643575</v>
      </c>
      <c r="Z30" s="11">
        <f>SUM(Z2:Z6)</f>
        <v>3866</v>
      </c>
      <c r="AA30" s="11">
        <f t="shared" ref="AA30:AE30" si="6">SUM(AA2:AA6)</f>
        <v>3610.8700000000003</v>
      </c>
      <c r="AB30" s="11">
        <f t="shared" si="6"/>
        <v>2358</v>
      </c>
      <c r="AC30" s="11">
        <f t="shared" si="6"/>
        <v>1060.9340000000002</v>
      </c>
      <c r="AD30" s="11">
        <f t="shared" si="6"/>
        <v>3335</v>
      </c>
      <c r="AE30" s="11">
        <f t="shared" si="6"/>
        <v>1738</v>
      </c>
      <c r="AJ30" s="11">
        <f t="shared" ref="AJ30" si="7">SUM(AJ2:AJ6)</f>
        <v>375906</v>
      </c>
      <c r="AK30">
        <f>AJ30/BK30</f>
        <v>3.9587387842790345</v>
      </c>
      <c r="BK30" s="11">
        <f t="shared" ref="BK30" si="8">SUM(BK2:BK6)</f>
        <v>94956</v>
      </c>
      <c r="BQ30" s="1" t="s">
        <v>123</v>
      </c>
    </row>
    <row r="31" spans="1:80" x14ac:dyDescent="0.2">
      <c r="A31" t="s">
        <v>148</v>
      </c>
      <c r="W31" s="11">
        <f>SUM(W7:W11)</f>
        <v>180339</v>
      </c>
      <c r="X31" s="11">
        <f>SUM(X7:X11)</f>
        <v>870400</v>
      </c>
      <c r="Z31" s="11">
        <f>SUM(Z7:Z11)</f>
        <v>352</v>
      </c>
      <c r="AA31" s="11">
        <f t="shared" ref="AA31:AE31" si="9">SUM(AA7:AA11)</f>
        <v>326.01600000000002</v>
      </c>
      <c r="AB31" s="11">
        <f t="shared" si="9"/>
        <v>195</v>
      </c>
      <c r="AC31" s="11">
        <f t="shared" si="9"/>
        <v>68.135999999999996</v>
      </c>
      <c r="AD31" s="11">
        <f t="shared" si="9"/>
        <v>423</v>
      </c>
      <c r="AE31" s="11">
        <f t="shared" si="9"/>
        <v>236</v>
      </c>
      <c r="AJ31" s="11">
        <f t="shared" ref="AJ31" si="10">SUM(AJ7:AJ11)</f>
        <v>455616</v>
      </c>
      <c r="AK31">
        <f t="shared" ref="AK31:AK33" si="11">AJ31/BK31</f>
        <v>4.7363299929310987</v>
      </c>
      <c r="BK31" s="11">
        <f t="shared" ref="BK31" si="12">SUM(BK7:BK11)</f>
        <v>96196</v>
      </c>
      <c r="BQ31" t="s">
        <v>22</v>
      </c>
    </row>
    <row r="32" spans="1:80" x14ac:dyDescent="0.2">
      <c r="A32" t="s">
        <v>149</v>
      </c>
      <c r="W32" s="11">
        <f>W12+W13</f>
        <v>23359</v>
      </c>
      <c r="X32" s="11">
        <f>X12+X13</f>
        <v>127167</v>
      </c>
      <c r="Z32" s="11">
        <f>Z12+Z13</f>
        <v>74</v>
      </c>
      <c r="AA32" s="11">
        <f t="shared" ref="AA32:AE32" si="13">AA12+AA13</f>
        <v>58.713999999999999</v>
      </c>
      <c r="AB32" s="11">
        <f t="shared" si="13"/>
        <v>60</v>
      </c>
      <c r="AC32" s="11">
        <f t="shared" si="13"/>
        <v>16.95</v>
      </c>
      <c r="AD32" s="11">
        <f t="shared" si="13"/>
        <v>53</v>
      </c>
      <c r="AE32" s="11">
        <f t="shared" si="13"/>
        <v>30</v>
      </c>
      <c r="AJ32" s="11">
        <f t="shared" ref="AJ32" si="14">AJ12+AJ13</f>
        <v>79043</v>
      </c>
      <c r="AK32">
        <f t="shared" si="11"/>
        <v>5.4441077209174189</v>
      </c>
      <c r="BK32" s="11">
        <f t="shared" ref="BK32" si="15">BK12+BK13</f>
        <v>14519</v>
      </c>
      <c r="BQ32" t="s">
        <v>56</v>
      </c>
    </row>
    <row r="33" spans="1:69" x14ac:dyDescent="0.2">
      <c r="A33" t="s">
        <v>156</v>
      </c>
      <c r="W33" s="17">
        <f>SUM(W30:W32)</f>
        <v>365735</v>
      </c>
      <c r="X33" s="17">
        <f>SUM(X30:X32)</f>
        <v>1641142</v>
      </c>
      <c r="AJ33" s="11">
        <f>SUM(AJ30:AJ32)</f>
        <v>910565</v>
      </c>
      <c r="AK33">
        <f t="shared" si="11"/>
        <v>4.4272892143277369</v>
      </c>
      <c r="BK33" s="11">
        <f>SUM(BK30:BK32)</f>
        <v>205671</v>
      </c>
      <c r="BQ33" t="s">
        <v>57</v>
      </c>
    </row>
    <row r="34" spans="1:69" x14ac:dyDescent="0.2">
      <c r="BQ34" t="s">
        <v>58</v>
      </c>
    </row>
    <row r="35" spans="1:69" x14ac:dyDescent="0.2">
      <c r="BQ35" t="s">
        <v>59</v>
      </c>
    </row>
    <row r="36" spans="1:69" x14ac:dyDescent="0.2">
      <c r="BQ36" t="s">
        <v>74</v>
      </c>
    </row>
    <row r="37" spans="1:69" x14ac:dyDescent="0.2">
      <c r="BQ37" t="s">
        <v>75</v>
      </c>
    </row>
    <row r="38" spans="1:69" x14ac:dyDescent="0.2">
      <c r="BQ38" t="s">
        <v>76</v>
      </c>
    </row>
    <row r="39" spans="1:69" x14ac:dyDescent="0.2">
      <c r="BQ39" t="s">
        <v>85</v>
      </c>
    </row>
    <row r="40" spans="1:69" x14ac:dyDescent="0.2">
      <c r="BQ40" t="s">
        <v>111</v>
      </c>
    </row>
    <row r="41" spans="1:69" x14ac:dyDescent="0.2">
      <c r="BQ41" t="s">
        <v>26</v>
      </c>
    </row>
    <row r="42" spans="1:69" x14ac:dyDescent="0.2">
      <c r="BQ42" t="s">
        <v>32</v>
      </c>
    </row>
    <row r="43" spans="1:69" x14ac:dyDescent="0.2">
      <c r="BQ43" t="s">
        <v>29</v>
      </c>
    </row>
    <row r="44" spans="1:69" x14ac:dyDescent="0.2">
      <c r="BQ44" t="s">
        <v>51</v>
      </c>
    </row>
    <row r="45" spans="1:69" x14ac:dyDescent="0.2">
      <c r="BQ45" t="s">
        <v>49</v>
      </c>
    </row>
    <row r="46" spans="1:69" x14ac:dyDescent="0.2">
      <c r="BQ46" t="s">
        <v>48</v>
      </c>
    </row>
    <row r="47" spans="1:69" x14ac:dyDescent="0.2">
      <c r="BQ47" t="s">
        <v>52</v>
      </c>
    </row>
    <row r="48" spans="1:69" x14ac:dyDescent="0.2">
      <c r="BQ48" t="s">
        <v>117</v>
      </c>
    </row>
    <row r="49" spans="69:69" x14ac:dyDescent="0.2">
      <c r="BQ49" t="s">
        <v>114</v>
      </c>
    </row>
    <row r="50" spans="69:69" x14ac:dyDescent="0.2">
      <c r="BQ50" t="s">
        <v>28</v>
      </c>
    </row>
    <row r="51" spans="69:69" x14ac:dyDescent="0.2">
      <c r="BQ51" t="s">
        <v>118</v>
      </c>
    </row>
    <row r="52" spans="69:69" x14ac:dyDescent="0.2">
      <c r="BQ52" t="s">
        <v>115</v>
      </c>
    </row>
    <row r="53" spans="69:69" x14ac:dyDescent="0.2">
      <c r="BQ53" t="s">
        <v>116</v>
      </c>
    </row>
    <row r="54" spans="69:69" x14ac:dyDescent="0.2">
      <c r="BQ54" t="s">
        <v>119</v>
      </c>
    </row>
    <row r="55" spans="69:69" x14ac:dyDescent="0.2">
      <c r="BQ55" t="s">
        <v>120</v>
      </c>
    </row>
    <row r="56" spans="69:69" x14ac:dyDescent="0.2">
      <c r="BQ56" t="s">
        <v>113</v>
      </c>
    </row>
    <row r="57" spans="69:69" x14ac:dyDescent="0.2">
      <c r="BQ57" t="s">
        <v>30</v>
      </c>
    </row>
    <row r="58" spans="69:69" x14ac:dyDescent="0.2">
      <c r="BQ58" t="s">
        <v>34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BZ25"/>
  <sheetViews>
    <sheetView workbookViewId="0">
      <pane xSplit="1" ySplit="1" topLeftCell="AQ2" activePane="bottomRight" state="frozen"/>
      <selection pane="topRight" activeCell="B1" sqref="B1"/>
      <selection pane="bottomLeft" activeCell="A2" sqref="A2"/>
      <selection pane="bottomRight" activeCell="AX1" sqref="AX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78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</row>
    <row r="2" spans="1:78" x14ac:dyDescent="0.2">
      <c r="A2" t="s">
        <v>1</v>
      </c>
      <c r="S2" s="10"/>
      <c r="T2" s="6"/>
      <c r="U2" s="6"/>
      <c r="V2" s="4"/>
      <c r="W2" s="8"/>
      <c r="X2" s="8"/>
      <c r="Y2" s="9"/>
      <c r="Z2" s="8"/>
      <c r="AA2" s="8"/>
      <c r="AB2" s="8"/>
      <c r="AI2" s="12"/>
      <c r="AJ2" s="4"/>
      <c r="AK2" s="6"/>
      <c r="AL2" s="12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8"/>
      <c r="BK2" s="3"/>
      <c r="BL2" s="3"/>
      <c r="BM2" s="3"/>
      <c r="BN2" s="13"/>
      <c r="BO2" s="13"/>
      <c r="BP2" s="13"/>
      <c r="BQ2" s="10"/>
      <c r="BR2" s="10"/>
      <c r="BS2" s="10"/>
      <c r="BT2" s="10"/>
      <c r="BU2" s="10"/>
    </row>
    <row r="3" spans="1:78" x14ac:dyDescent="0.2">
      <c r="A3" t="s">
        <v>129</v>
      </c>
      <c r="B3">
        <v>296.121352302476</v>
      </c>
      <c r="C3">
        <v>920.28875394123702</v>
      </c>
      <c r="D3">
        <v>0</v>
      </c>
      <c r="E3">
        <v>1216.4101062437101</v>
      </c>
      <c r="F3">
        <v>1199.2861172257701</v>
      </c>
      <c r="G3">
        <v>1233.9007752969101</v>
      </c>
      <c r="H3">
        <v>903.21531651929399</v>
      </c>
      <c r="I3">
        <v>937.77790834248106</v>
      </c>
      <c r="J3">
        <v>828.48949203026496</v>
      </c>
      <c r="K3">
        <v>809.62930758831897</v>
      </c>
      <c r="L3">
        <v>852.68465888380899</v>
      </c>
      <c r="M3">
        <v>0</v>
      </c>
      <c r="N3">
        <v>281.35125328118602</v>
      </c>
      <c r="O3">
        <v>2326.2508515551599</v>
      </c>
      <c r="P3">
        <v>2247.4128508655599</v>
      </c>
      <c r="Q3">
        <v>2405.90358945035</v>
      </c>
      <c r="R3">
        <v>1000</v>
      </c>
      <c r="S3" s="10">
        <v>6.4158761819813701E-3</v>
      </c>
      <c r="T3" s="6">
        <v>15.0295249</v>
      </c>
      <c r="U3" s="6">
        <v>113</v>
      </c>
      <c r="V3" s="4">
        <v>81546.388949999993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1502</v>
      </c>
      <c r="AB3" s="8">
        <v>1054</v>
      </c>
      <c r="AC3">
        <v>483.512</v>
      </c>
      <c r="AD3">
        <v>1272</v>
      </c>
      <c r="AE3">
        <v>679</v>
      </c>
      <c r="AF3">
        <v>577.47260558366202</v>
      </c>
      <c r="AG3" t="s">
        <v>44</v>
      </c>
      <c r="AH3" t="s">
        <v>44</v>
      </c>
      <c r="AI3" s="12" t="s">
        <v>158</v>
      </c>
      <c r="AJ3" s="4">
        <v>179120</v>
      </c>
      <c r="AK3" s="6">
        <v>3.8655933703088201</v>
      </c>
      <c r="AL3" s="12">
        <v>0.50861822288460201</v>
      </c>
      <c r="AM3" s="2">
        <v>3.2632315419270099E-3</v>
      </c>
      <c r="AN3">
        <v>2.0288781920686099E-4</v>
      </c>
      <c r="AO3">
        <v>0.26599034345600098</v>
      </c>
      <c r="AP3">
        <v>0.73400965654399897</v>
      </c>
      <c r="AQ3" s="3">
        <v>0</v>
      </c>
      <c r="AR3" s="2">
        <v>3.63132391409805E-3</v>
      </c>
      <c r="AS3" s="2">
        <v>1.1285462983597099E-2</v>
      </c>
      <c r="AT3" s="2">
        <v>1.1076092125588801E-2</v>
      </c>
      <c r="AU3" s="2">
        <v>1.1499931761754401E-2</v>
      </c>
      <c r="AV3" s="2">
        <v>0</v>
      </c>
      <c r="AW3" s="2">
        <v>1.4916786897695201E-2</v>
      </c>
      <c r="AX3" s="18">
        <v>2.8526718123367802E-2</v>
      </c>
      <c r="AY3" s="3">
        <v>-9.6678714661348805E-4</v>
      </c>
      <c r="AZ3" s="3">
        <v>9.7677823531857992E-4</v>
      </c>
      <c r="BA3" s="3">
        <v>2.7559930976754299E-2</v>
      </c>
      <c r="BB3" s="3">
        <v>2.9503496358686401E-2</v>
      </c>
      <c r="BC3" s="3">
        <v>1.0159732425898699E-2</v>
      </c>
      <c r="BD3" s="3">
        <v>9.9284507629729905E-3</v>
      </c>
      <c r="BE3" s="3">
        <v>1.0456436757814399E-2</v>
      </c>
      <c r="BF3" s="3">
        <v>0</v>
      </c>
      <c r="BG3" s="3">
        <v>3.4501987997739001E-3</v>
      </c>
      <c r="BH3" s="3">
        <v>9.7644037516748591E-3</v>
      </c>
      <c r="BI3">
        <v>8.3854399285395297E-3</v>
      </c>
      <c r="BJ3" s="8">
        <v>0.91416875558760502</v>
      </c>
      <c r="BK3" s="3">
        <v>46337</v>
      </c>
      <c r="BL3" s="3">
        <v>2.2746401363920799E-2</v>
      </c>
      <c r="BM3" s="3">
        <v>5.7172992787040298E-3</v>
      </c>
      <c r="BN3" s="13">
        <v>1.04346850249261E-2</v>
      </c>
      <c r="BO3" s="13">
        <v>1748.7782459714999</v>
      </c>
      <c r="BP3" s="13">
        <v>1748.7782459714999</v>
      </c>
      <c r="BQ3" s="10">
        <v>577.47260558366202</v>
      </c>
      <c r="BR3" s="10">
        <v>0.75175824708096906</v>
      </c>
      <c r="BS3" s="10">
        <v>0.75175824708096906</v>
      </c>
      <c r="BT3" s="10">
        <v>0.248241752919031</v>
      </c>
      <c r="BU3" s="10">
        <v>0.47709418570155798</v>
      </c>
      <c r="BV3">
        <v>0.356147961977693</v>
      </c>
      <c r="BW3">
        <v>1216.4101062437101</v>
      </c>
      <c r="BX3">
        <v>3.7552325591903499</v>
      </c>
      <c r="BY3">
        <v>1.7598547370352</v>
      </c>
      <c r="BZ3">
        <v>1.1061675479407901E-2</v>
      </c>
    </row>
    <row r="4" spans="1:78" x14ac:dyDescent="0.2">
      <c r="A4" t="s">
        <v>27</v>
      </c>
      <c r="S4" s="10"/>
      <c r="T4" s="6"/>
      <c r="U4" s="6"/>
      <c r="V4" s="4"/>
      <c r="W4" s="8"/>
      <c r="X4" s="8"/>
      <c r="Y4" s="9"/>
      <c r="Z4" s="8"/>
      <c r="AA4" s="8"/>
      <c r="AB4" s="8"/>
      <c r="AI4" s="12">
        <v>0.5</v>
      </c>
      <c r="AJ4" s="4" t="e">
        <f t="shared" ref="AJ4:AJ8" si="0">X4/Y4</f>
        <v>#DIV/0!</v>
      </c>
      <c r="AK4" s="6" t="e">
        <f t="shared" ref="AK4:AK8" si="1">X4/W4</f>
        <v>#DIV/0!</v>
      </c>
      <c r="AL4" s="12" t="e">
        <f t="shared" ref="AL4:AL19" si="2">1/SQRT(AK4)</f>
        <v>#DIV/0!</v>
      </c>
      <c r="AM4" s="2" t="e">
        <f t="shared" ref="AM4:AM19" si="3">S4/SQRT(AK4)</f>
        <v>#DIV/0!</v>
      </c>
      <c r="AN4" t="e">
        <f t="shared" ref="AN4:AP8" si="4">B4/$BV4</f>
        <v>#DIV/0!</v>
      </c>
      <c r="AO4" t="e">
        <f t="shared" si="4"/>
        <v>#DIV/0!</v>
      </c>
      <c r="AP4" t="e">
        <f t="shared" si="4"/>
        <v>#DIV/0!</v>
      </c>
      <c r="AQ4" s="3" t="e">
        <f t="shared" ref="AQ4:AR8" si="5">B4/$V4</f>
        <v>#DIV/0!</v>
      </c>
      <c r="AR4" s="2" t="e">
        <f t="shared" si="5"/>
        <v>#DIV/0!</v>
      </c>
      <c r="AS4" s="2" t="e">
        <f t="shared" ref="AS4:AT8" si="6">H4/$V4</f>
        <v>#DIV/0!</v>
      </c>
      <c r="AT4" s="2" t="e">
        <f t="shared" si="6"/>
        <v>#DIV/0!</v>
      </c>
      <c r="AU4" s="2" t="e">
        <f t="shared" ref="AU4:AU8" si="7">D4/$V4</f>
        <v>#DIV/0!</v>
      </c>
      <c r="AV4" s="2" t="e">
        <f t="shared" ref="AV4:AV20" si="8">AQ4+AR4+AU4</f>
        <v>#DIV/0!</v>
      </c>
      <c r="AW4" s="2" t="e">
        <f t="shared" ref="AW4:AW8" si="9">O4/$V4</f>
        <v>#DIV/0!</v>
      </c>
      <c r="AX4" s="3" t="e">
        <f t="shared" ref="AX4:AX8" si="10">P4/$V4-AW4</f>
        <v>#DIV/0!</v>
      </c>
      <c r="AY4" s="3" t="e">
        <f t="shared" ref="AY4:AY8" si="11">Q4/$V4-AW4</f>
        <v>#DIV/0!</v>
      </c>
      <c r="AZ4" s="2" t="e">
        <f t="shared" ref="AZ4:BA8" si="12">$AW4+AX4</f>
        <v>#DIV/0!</v>
      </c>
      <c r="BA4" s="2" t="e">
        <f t="shared" si="12"/>
        <v>#DIV/0!</v>
      </c>
      <c r="BB4" s="3" t="e">
        <f t="shared" ref="BB4:BF8" si="13">J4/$V4</f>
        <v>#DIV/0!</v>
      </c>
      <c r="BC4" s="3" t="e">
        <f t="shared" si="13"/>
        <v>#DIV/0!</v>
      </c>
      <c r="BD4" s="3" t="e">
        <f t="shared" si="13"/>
        <v>#DIV/0!</v>
      </c>
      <c r="BE4" s="3" t="e">
        <f t="shared" si="13"/>
        <v>#DIV/0!</v>
      </c>
      <c r="BF4" s="3" t="e">
        <f t="shared" si="13"/>
        <v>#DIV/0!</v>
      </c>
      <c r="BG4" s="3" t="e">
        <f t="shared" ref="BG4:BG8" si="14">Z4/X4</f>
        <v>#DIV/0!</v>
      </c>
      <c r="BH4" s="3" t="e">
        <f t="shared" ref="BH4:BH8" si="15">AA4/X4</f>
        <v>#DIV/0!</v>
      </c>
      <c r="BI4" t="e">
        <f t="shared" ref="BI4:BI8" si="16">B4/AF4</f>
        <v>#DIV/0!</v>
      </c>
      <c r="BJ4" s="8" t="e">
        <f t="shared" ref="BJ4:BJ8" si="17">W4/Y4</f>
        <v>#DIV/0!</v>
      </c>
      <c r="BK4" s="3" t="e">
        <f t="shared" ref="BK4:BK8" si="18">AB4/W4</f>
        <v>#DIV/0!</v>
      </c>
      <c r="BL4" s="3" t="e">
        <f t="shared" ref="BL4:BL8" si="19">AC4/W4</f>
        <v>#DIV/0!</v>
      </c>
      <c r="BM4" s="3" t="e">
        <f t="shared" ref="BM4:BM8" si="20">AC4/BJ4</f>
        <v>#DIV/0!</v>
      </c>
      <c r="BN4" s="13">
        <f t="shared" ref="BN4:BN20" si="21">C4+J4</f>
        <v>0</v>
      </c>
      <c r="BO4" s="13">
        <f t="shared" ref="BO4:BO8" si="22">C4+D4+J4+M4</f>
        <v>0</v>
      </c>
      <c r="BP4" s="13">
        <f t="shared" ref="BP4:BP8" si="23">B4+N4</f>
        <v>0</v>
      </c>
      <c r="BQ4" s="10" t="e">
        <f t="shared" ref="BQ4:BS20" si="24">BN4/$O4</f>
        <v>#DIV/0!</v>
      </c>
      <c r="BR4" s="10" t="e">
        <f t="shared" si="24"/>
        <v>#DIV/0!</v>
      </c>
      <c r="BS4" s="10" t="e">
        <f t="shared" si="24"/>
        <v>#DIV/0!</v>
      </c>
      <c r="BT4" s="10" t="e">
        <f t="shared" ref="BT4:BT8" si="25">(J4+M4+N4)/O4</f>
        <v>#DIV/0!</v>
      </c>
      <c r="BU4" s="10" t="e">
        <f t="shared" ref="BU4:BU8" si="26">J4/$O4</f>
        <v>#DIV/0!</v>
      </c>
      <c r="BV4">
        <f t="shared" ref="BV4:BV8" si="27">SUM(B4:D4)</f>
        <v>0</v>
      </c>
      <c r="BW4" t="e">
        <f t="shared" ref="BW4:BW8" si="28">BV4/AF4</f>
        <v>#DIV/0!</v>
      </c>
      <c r="BX4" t="e">
        <f t="shared" ref="BX4:BX8" si="29">V4/X4</f>
        <v>#DIV/0!</v>
      </c>
    </row>
    <row r="5" spans="1:78" x14ac:dyDescent="0.2">
      <c r="A5" t="s">
        <v>3</v>
      </c>
      <c r="S5" s="10"/>
      <c r="T5" s="6"/>
      <c r="U5" s="6"/>
      <c r="V5" s="4"/>
      <c r="W5" s="8"/>
      <c r="X5" s="8"/>
      <c r="Y5" s="9"/>
      <c r="Z5" s="8"/>
      <c r="AA5" s="8"/>
      <c r="AB5" s="8"/>
      <c r="AI5" s="12">
        <v>0.5</v>
      </c>
      <c r="AJ5" s="4" t="e">
        <f t="shared" si="0"/>
        <v>#DIV/0!</v>
      </c>
      <c r="AK5" s="6" t="e">
        <f t="shared" si="1"/>
        <v>#DIV/0!</v>
      </c>
      <c r="AL5" s="12" t="e">
        <f t="shared" si="2"/>
        <v>#DIV/0!</v>
      </c>
      <c r="AM5" s="2" t="e">
        <f t="shared" si="3"/>
        <v>#DIV/0!</v>
      </c>
      <c r="AN5" t="e">
        <f t="shared" si="4"/>
        <v>#DIV/0!</v>
      </c>
      <c r="AO5" t="e">
        <f t="shared" si="4"/>
        <v>#DIV/0!</v>
      </c>
      <c r="AP5" t="e">
        <f t="shared" si="4"/>
        <v>#DIV/0!</v>
      </c>
      <c r="AQ5" s="3" t="e">
        <f t="shared" si="5"/>
        <v>#DIV/0!</v>
      </c>
      <c r="AR5" s="2" t="e">
        <f t="shared" si="5"/>
        <v>#DIV/0!</v>
      </c>
      <c r="AS5" s="2" t="e">
        <f t="shared" si="6"/>
        <v>#DIV/0!</v>
      </c>
      <c r="AT5" s="2" t="e">
        <f t="shared" si="6"/>
        <v>#DIV/0!</v>
      </c>
      <c r="AU5" s="2" t="e">
        <f t="shared" si="7"/>
        <v>#DIV/0!</v>
      </c>
      <c r="AV5" s="2" t="e">
        <f t="shared" si="8"/>
        <v>#DIV/0!</v>
      </c>
      <c r="AW5" s="2" t="e">
        <f t="shared" si="9"/>
        <v>#DIV/0!</v>
      </c>
      <c r="AX5" s="3" t="e">
        <f t="shared" si="10"/>
        <v>#DIV/0!</v>
      </c>
      <c r="AY5" s="3" t="e">
        <f t="shared" si="11"/>
        <v>#DIV/0!</v>
      </c>
      <c r="AZ5" s="2" t="e">
        <f t="shared" si="12"/>
        <v>#DIV/0!</v>
      </c>
      <c r="BA5" s="2" t="e">
        <f t="shared" si="12"/>
        <v>#DIV/0!</v>
      </c>
      <c r="BB5" s="3" t="e">
        <f t="shared" si="13"/>
        <v>#DIV/0!</v>
      </c>
      <c r="BC5" s="3" t="e">
        <f t="shared" si="13"/>
        <v>#DIV/0!</v>
      </c>
      <c r="BD5" s="3" t="e">
        <f t="shared" si="13"/>
        <v>#DIV/0!</v>
      </c>
      <c r="BE5" s="3" t="e">
        <f t="shared" si="13"/>
        <v>#DIV/0!</v>
      </c>
      <c r="BF5" s="3" t="e">
        <f t="shared" si="13"/>
        <v>#DIV/0!</v>
      </c>
      <c r="BG5" s="3" t="e">
        <f t="shared" si="14"/>
        <v>#DIV/0!</v>
      </c>
      <c r="BH5" s="3" t="e">
        <f t="shared" si="15"/>
        <v>#DIV/0!</v>
      </c>
      <c r="BI5" t="e">
        <f t="shared" si="16"/>
        <v>#DIV/0!</v>
      </c>
      <c r="BJ5" s="8" t="e">
        <f t="shared" si="17"/>
        <v>#DIV/0!</v>
      </c>
      <c r="BK5" s="3" t="e">
        <f t="shared" si="18"/>
        <v>#DIV/0!</v>
      </c>
      <c r="BL5" s="3" t="e">
        <f t="shared" si="19"/>
        <v>#DIV/0!</v>
      </c>
      <c r="BM5" s="3" t="e">
        <f t="shared" si="20"/>
        <v>#DIV/0!</v>
      </c>
      <c r="BN5" s="13">
        <f t="shared" si="21"/>
        <v>0</v>
      </c>
      <c r="BO5" s="13">
        <f t="shared" si="22"/>
        <v>0</v>
      </c>
      <c r="BP5" s="13">
        <f t="shared" si="23"/>
        <v>0</v>
      </c>
      <c r="BQ5" s="10" t="e">
        <f t="shared" si="24"/>
        <v>#DIV/0!</v>
      </c>
      <c r="BR5" s="10" t="e">
        <f t="shared" si="24"/>
        <v>#DIV/0!</v>
      </c>
      <c r="BS5" s="10" t="e">
        <f t="shared" si="24"/>
        <v>#DIV/0!</v>
      </c>
      <c r="BT5" s="10" t="e">
        <f t="shared" si="25"/>
        <v>#DIV/0!</v>
      </c>
      <c r="BU5" s="10" t="e">
        <f t="shared" si="26"/>
        <v>#DIV/0!</v>
      </c>
      <c r="BV5">
        <f t="shared" si="27"/>
        <v>0</v>
      </c>
      <c r="BW5" t="e">
        <f t="shared" si="28"/>
        <v>#DIV/0!</v>
      </c>
      <c r="BX5" t="e">
        <f t="shared" si="29"/>
        <v>#DIV/0!</v>
      </c>
    </row>
    <row r="6" spans="1:78" x14ac:dyDescent="0.2">
      <c r="A6" t="s">
        <v>4</v>
      </c>
      <c r="S6" s="10"/>
      <c r="T6" s="6"/>
      <c r="U6" s="6"/>
      <c r="V6" s="4"/>
      <c r="W6" s="8"/>
      <c r="X6" s="8"/>
      <c r="Y6" s="9"/>
      <c r="Z6" s="8"/>
      <c r="AA6" s="8"/>
      <c r="AB6" s="8"/>
      <c r="AI6" s="12">
        <v>0.5</v>
      </c>
      <c r="AJ6" s="4" t="e">
        <f t="shared" si="0"/>
        <v>#DIV/0!</v>
      </c>
      <c r="AK6" s="6" t="e">
        <f t="shared" si="1"/>
        <v>#DIV/0!</v>
      </c>
      <c r="AL6" s="12" t="e">
        <f t="shared" si="2"/>
        <v>#DIV/0!</v>
      </c>
      <c r="AM6" s="2" t="e">
        <f t="shared" si="3"/>
        <v>#DIV/0!</v>
      </c>
      <c r="AN6" t="e">
        <f t="shared" si="4"/>
        <v>#DIV/0!</v>
      </c>
      <c r="AO6" t="e">
        <f t="shared" si="4"/>
        <v>#DIV/0!</v>
      </c>
      <c r="AP6" t="e">
        <f t="shared" si="4"/>
        <v>#DIV/0!</v>
      </c>
      <c r="AQ6" s="3" t="e">
        <f t="shared" si="5"/>
        <v>#DIV/0!</v>
      </c>
      <c r="AR6" s="2" t="e">
        <f t="shared" si="5"/>
        <v>#DIV/0!</v>
      </c>
      <c r="AS6" s="2" t="e">
        <f t="shared" si="6"/>
        <v>#DIV/0!</v>
      </c>
      <c r="AT6" s="2" t="e">
        <f t="shared" si="6"/>
        <v>#DIV/0!</v>
      </c>
      <c r="AU6" s="2" t="e">
        <f t="shared" si="7"/>
        <v>#DIV/0!</v>
      </c>
      <c r="AV6" s="2" t="e">
        <f t="shared" si="8"/>
        <v>#DIV/0!</v>
      </c>
      <c r="AW6" s="2" t="e">
        <f t="shared" si="9"/>
        <v>#DIV/0!</v>
      </c>
      <c r="AX6" s="3" t="e">
        <f t="shared" si="10"/>
        <v>#DIV/0!</v>
      </c>
      <c r="AY6" s="3" t="e">
        <f t="shared" si="11"/>
        <v>#DIV/0!</v>
      </c>
      <c r="AZ6" s="2" t="e">
        <f t="shared" si="12"/>
        <v>#DIV/0!</v>
      </c>
      <c r="BA6" s="2" t="e">
        <f t="shared" si="12"/>
        <v>#DIV/0!</v>
      </c>
      <c r="BB6" s="3" t="e">
        <f t="shared" si="13"/>
        <v>#DIV/0!</v>
      </c>
      <c r="BC6" s="3" t="e">
        <f t="shared" si="13"/>
        <v>#DIV/0!</v>
      </c>
      <c r="BD6" s="3" t="e">
        <f t="shared" si="13"/>
        <v>#DIV/0!</v>
      </c>
      <c r="BE6" s="3" t="e">
        <f t="shared" si="13"/>
        <v>#DIV/0!</v>
      </c>
      <c r="BF6" s="3" t="e">
        <f t="shared" si="13"/>
        <v>#DIV/0!</v>
      </c>
      <c r="BG6" s="3" t="e">
        <f t="shared" si="14"/>
        <v>#DIV/0!</v>
      </c>
      <c r="BH6" s="3" t="e">
        <f t="shared" si="15"/>
        <v>#DIV/0!</v>
      </c>
      <c r="BI6" t="e">
        <f t="shared" si="16"/>
        <v>#DIV/0!</v>
      </c>
      <c r="BJ6" s="8" t="e">
        <f t="shared" si="17"/>
        <v>#DIV/0!</v>
      </c>
      <c r="BK6" s="3" t="e">
        <f t="shared" si="18"/>
        <v>#DIV/0!</v>
      </c>
      <c r="BL6" s="3" t="e">
        <f t="shared" si="19"/>
        <v>#DIV/0!</v>
      </c>
      <c r="BM6" s="3" t="e">
        <f t="shared" si="20"/>
        <v>#DIV/0!</v>
      </c>
      <c r="BN6" s="13">
        <f t="shared" si="21"/>
        <v>0</v>
      </c>
      <c r="BO6" s="13">
        <f t="shared" si="22"/>
        <v>0</v>
      </c>
      <c r="BP6" s="13">
        <f t="shared" si="23"/>
        <v>0</v>
      </c>
      <c r="BQ6" s="10" t="e">
        <f t="shared" si="24"/>
        <v>#DIV/0!</v>
      </c>
      <c r="BR6" s="10" t="e">
        <f t="shared" si="24"/>
        <v>#DIV/0!</v>
      </c>
      <c r="BS6" s="10" t="e">
        <f t="shared" si="24"/>
        <v>#DIV/0!</v>
      </c>
      <c r="BT6" s="10" t="e">
        <f t="shared" si="25"/>
        <v>#DIV/0!</v>
      </c>
      <c r="BU6" s="10" t="e">
        <f t="shared" si="26"/>
        <v>#DIV/0!</v>
      </c>
      <c r="BV6">
        <f t="shared" si="27"/>
        <v>0</v>
      </c>
      <c r="BW6" t="e">
        <f t="shared" si="28"/>
        <v>#DIV/0!</v>
      </c>
      <c r="BX6" t="e">
        <f t="shared" si="29"/>
        <v>#DIV/0!</v>
      </c>
    </row>
    <row r="7" spans="1:78" x14ac:dyDescent="0.2">
      <c r="A7" t="s">
        <v>38</v>
      </c>
      <c r="S7" s="10"/>
      <c r="T7" s="6"/>
      <c r="U7" s="6"/>
      <c r="V7" s="4"/>
      <c r="W7" s="8"/>
      <c r="X7" s="8"/>
      <c r="Y7" s="9"/>
      <c r="Z7" s="8"/>
      <c r="AA7" s="8"/>
      <c r="AB7" s="8"/>
      <c r="AI7" s="12">
        <v>1</v>
      </c>
      <c r="AJ7" s="4" t="e">
        <f t="shared" si="0"/>
        <v>#DIV/0!</v>
      </c>
      <c r="AK7" s="6" t="e">
        <f t="shared" si="1"/>
        <v>#DIV/0!</v>
      </c>
      <c r="AL7" s="12" t="e">
        <f t="shared" si="2"/>
        <v>#DIV/0!</v>
      </c>
      <c r="AM7" s="2" t="e">
        <f t="shared" si="3"/>
        <v>#DIV/0!</v>
      </c>
      <c r="AN7" t="e">
        <f t="shared" si="4"/>
        <v>#DIV/0!</v>
      </c>
      <c r="AO7" t="e">
        <f t="shared" si="4"/>
        <v>#DIV/0!</v>
      </c>
      <c r="AP7" t="e">
        <f t="shared" si="4"/>
        <v>#DIV/0!</v>
      </c>
      <c r="AQ7" s="3" t="e">
        <f t="shared" si="5"/>
        <v>#DIV/0!</v>
      </c>
      <c r="AR7" s="2" t="e">
        <f t="shared" si="5"/>
        <v>#DIV/0!</v>
      </c>
      <c r="AS7" s="2" t="e">
        <f t="shared" si="6"/>
        <v>#DIV/0!</v>
      </c>
      <c r="AT7" s="2" t="e">
        <f t="shared" si="6"/>
        <v>#DIV/0!</v>
      </c>
      <c r="AU7" s="2" t="e">
        <f t="shared" si="7"/>
        <v>#DIV/0!</v>
      </c>
      <c r="AV7" s="2" t="e">
        <f t="shared" si="8"/>
        <v>#DIV/0!</v>
      </c>
      <c r="AW7" s="2" t="e">
        <f t="shared" si="9"/>
        <v>#DIV/0!</v>
      </c>
      <c r="AX7" s="3" t="e">
        <f t="shared" si="10"/>
        <v>#DIV/0!</v>
      </c>
      <c r="AY7" s="3" t="e">
        <f t="shared" si="11"/>
        <v>#DIV/0!</v>
      </c>
      <c r="AZ7" s="2" t="e">
        <f t="shared" si="12"/>
        <v>#DIV/0!</v>
      </c>
      <c r="BA7" s="2" t="e">
        <f t="shared" si="12"/>
        <v>#DIV/0!</v>
      </c>
      <c r="BB7" s="3" t="e">
        <f t="shared" si="13"/>
        <v>#DIV/0!</v>
      </c>
      <c r="BC7" s="3" t="e">
        <f t="shared" si="13"/>
        <v>#DIV/0!</v>
      </c>
      <c r="BD7" s="3" t="e">
        <f t="shared" si="13"/>
        <v>#DIV/0!</v>
      </c>
      <c r="BE7" s="3" t="e">
        <f t="shared" si="13"/>
        <v>#DIV/0!</v>
      </c>
      <c r="BF7" s="3" t="e">
        <f t="shared" si="13"/>
        <v>#DIV/0!</v>
      </c>
      <c r="BG7" s="3" t="e">
        <f t="shared" si="14"/>
        <v>#DIV/0!</v>
      </c>
      <c r="BH7" s="3" t="e">
        <f t="shared" si="15"/>
        <v>#DIV/0!</v>
      </c>
      <c r="BI7" t="e">
        <f t="shared" si="16"/>
        <v>#DIV/0!</v>
      </c>
      <c r="BJ7" s="8" t="e">
        <f t="shared" si="17"/>
        <v>#DIV/0!</v>
      </c>
      <c r="BK7" s="3" t="e">
        <f t="shared" si="18"/>
        <v>#DIV/0!</v>
      </c>
      <c r="BL7" s="3" t="e">
        <f t="shared" si="19"/>
        <v>#DIV/0!</v>
      </c>
      <c r="BM7" s="3" t="e">
        <f t="shared" si="20"/>
        <v>#DIV/0!</v>
      </c>
      <c r="BN7" s="13">
        <f t="shared" si="21"/>
        <v>0</v>
      </c>
      <c r="BO7" s="13">
        <f t="shared" si="22"/>
        <v>0</v>
      </c>
      <c r="BP7" s="13">
        <f t="shared" si="23"/>
        <v>0</v>
      </c>
      <c r="BQ7" s="10" t="e">
        <f t="shared" si="24"/>
        <v>#DIV/0!</v>
      </c>
      <c r="BR7" s="10" t="e">
        <f t="shared" si="24"/>
        <v>#DIV/0!</v>
      </c>
      <c r="BS7" s="10" t="e">
        <f t="shared" si="24"/>
        <v>#DIV/0!</v>
      </c>
      <c r="BT7" s="10" t="e">
        <f t="shared" si="25"/>
        <v>#DIV/0!</v>
      </c>
      <c r="BU7" s="10" t="e">
        <f t="shared" si="26"/>
        <v>#DIV/0!</v>
      </c>
      <c r="BV7">
        <f t="shared" si="27"/>
        <v>0</v>
      </c>
      <c r="BW7" t="e">
        <f t="shared" si="28"/>
        <v>#DIV/0!</v>
      </c>
      <c r="BX7" t="e">
        <f t="shared" si="29"/>
        <v>#DIV/0!</v>
      </c>
    </row>
    <row r="8" spans="1:78" x14ac:dyDescent="0.2">
      <c r="A8" t="s">
        <v>39</v>
      </c>
      <c r="S8" s="10"/>
      <c r="T8" s="6"/>
      <c r="U8" s="6"/>
      <c r="V8" s="4"/>
      <c r="W8" s="8"/>
      <c r="X8" s="8"/>
      <c r="Y8" s="9"/>
      <c r="Z8" s="8"/>
      <c r="AA8" s="8"/>
      <c r="AB8" s="8"/>
      <c r="AI8" s="12">
        <v>1</v>
      </c>
      <c r="AJ8" s="4" t="e">
        <f t="shared" si="0"/>
        <v>#DIV/0!</v>
      </c>
      <c r="AK8" s="6" t="e">
        <f t="shared" si="1"/>
        <v>#DIV/0!</v>
      </c>
      <c r="AL8" s="12" t="e">
        <f t="shared" si="2"/>
        <v>#DIV/0!</v>
      </c>
      <c r="AM8" s="2" t="e">
        <f t="shared" si="3"/>
        <v>#DIV/0!</v>
      </c>
      <c r="AN8" t="e">
        <f t="shared" si="4"/>
        <v>#DIV/0!</v>
      </c>
      <c r="AO8" t="e">
        <f t="shared" si="4"/>
        <v>#DIV/0!</v>
      </c>
      <c r="AP8" t="e">
        <f t="shared" si="4"/>
        <v>#DIV/0!</v>
      </c>
      <c r="AQ8" s="3" t="e">
        <f t="shared" si="5"/>
        <v>#DIV/0!</v>
      </c>
      <c r="AR8" s="2" t="e">
        <f t="shared" si="5"/>
        <v>#DIV/0!</v>
      </c>
      <c r="AS8" s="2" t="e">
        <f t="shared" si="6"/>
        <v>#DIV/0!</v>
      </c>
      <c r="AT8" s="2" t="e">
        <f t="shared" si="6"/>
        <v>#DIV/0!</v>
      </c>
      <c r="AU8" s="2" t="e">
        <f t="shared" si="7"/>
        <v>#DIV/0!</v>
      </c>
      <c r="AV8" s="2" t="e">
        <f t="shared" si="8"/>
        <v>#DIV/0!</v>
      </c>
      <c r="AW8" s="2" t="e">
        <f t="shared" si="9"/>
        <v>#DIV/0!</v>
      </c>
      <c r="AX8" s="3" t="e">
        <f t="shared" si="10"/>
        <v>#DIV/0!</v>
      </c>
      <c r="AY8" s="3" t="e">
        <f t="shared" si="11"/>
        <v>#DIV/0!</v>
      </c>
      <c r="AZ8" s="2" t="e">
        <f t="shared" si="12"/>
        <v>#DIV/0!</v>
      </c>
      <c r="BA8" s="2" t="e">
        <f t="shared" si="12"/>
        <v>#DIV/0!</v>
      </c>
      <c r="BB8" s="3" t="e">
        <f t="shared" si="13"/>
        <v>#DIV/0!</v>
      </c>
      <c r="BC8" s="3" t="e">
        <f t="shared" si="13"/>
        <v>#DIV/0!</v>
      </c>
      <c r="BD8" s="3" t="e">
        <f t="shared" si="13"/>
        <v>#DIV/0!</v>
      </c>
      <c r="BE8" s="3" t="e">
        <f t="shared" si="13"/>
        <v>#DIV/0!</v>
      </c>
      <c r="BF8" s="3" t="e">
        <f t="shared" si="13"/>
        <v>#DIV/0!</v>
      </c>
      <c r="BG8" s="3" t="e">
        <f t="shared" si="14"/>
        <v>#DIV/0!</v>
      </c>
      <c r="BH8" s="3" t="e">
        <f t="shared" si="15"/>
        <v>#DIV/0!</v>
      </c>
      <c r="BI8" t="e">
        <f t="shared" si="16"/>
        <v>#DIV/0!</v>
      </c>
      <c r="BJ8" s="8" t="e">
        <f t="shared" si="17"/>
        <v>#DIV/0!</v>
      </c>
      <c r="BK8" s="3" t="e">
        <f t="shared" si="18"/>
        <v>#DIV/0!</v>
      </c>
      <c r="BL8" s="3" t="e">
        <f t="shared" si="19"/>
        <v>#DIV/0!</v>
      </c>
      <c r="BM8" s="3" t="e">
        <f t="shared" si="20"/>
        <v>#DIV/0!</v>
      </c>
      <c r="BN8" s="13">
        <f t="shared" si="21"/>
        <v>0</v>
      </c>
      <c r="BO8" s="13">
        <f t="shared" si="22"/>
        <v>0</v>
      </c>
      <c r="BP8" s="13">
        <f t="shared" si="23"/>
        <v>0</v>
      </c>
      <c r="BQ8" s="10" t="e">
        <f t="shared" si="24"/>
        <v>#DIV/0!</v>
      </c>
      <c r="BR8" s="10" t="e">
        <f t="shared" si="24"/>
        <v>#DIV/0!</v>
      </c>
      <c r="BS8" s="10" t="e">
        <f t="shared" si="24"/>
        <v>#DIV/0!</v>
      </c>
      <c r="BT8" s="10" t="e">
        <f t="shared" si="25"/>
        <v>#DIV/0!</v>
      </c>
      <c r="BU8" s="10" t="e">
        <f t="shared" si="26"/>
        <v>#DIV/0!</v>
      </c>
      <c r="BV8">
        <f t="shared" si="27"/>
        <v>0</v>
      </c>
      <c r="BW8" t="e">
        <f t="shared" si="28"/>
        <v>#DIV/0!</v>
      </c>
      <c r="BX8" t="e">
        <f t="shared" si="29"/>
        <v>#DIV/0!</v>
      </c>
    </row>
    <row r="9" spans="1:78" x14ac:dyDescent="0.2">
      <c r="A9" t="s">
        <v>8</v>
      </c>
      <c r="S9" s="10"/>
      <c r="T9" s="6"/>
      <c r="U9" s="6"/>
      <c r="V9" s="4"/>
      <c r="W9" s="8"/>
      <c r="X9" s="8"/>
      <c r="Y9" s="9"/>
      <c r="Z9" s="8"/>
      <c r="AA9" s="8"/>
      <c r="AB9" s="8"/>
      <c r="AI9" s="12">
        <v>0.5</v>
      </c>
      <c r="AJ9" s="4"/>
      <c r="AK9" s="6"/>
      <c r="AL9" s="12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8"/>
      <c r="BK9" s="3"/>
      <c r="BL9" s="3"/>
      <c r="BM9" s="3"/>
      <c r="BN9" s="13"/>
      <c r="BO9" s="13"/>
      <c r="BP9" s="13"/>
      <c r="BQ9" s="10"/>
      <c r="BR9" s="10"/>
      <c r="BS9" s="10"/>
      <c r="BT9" s="10"/>
      <c r="BU9" s="10"/>
    </row>
    <row r="10" spans="1:78" x14ac:dyDescent="0.2">
      <c r="A10" t="s">
        <v>6</v>
      </c>
      <c r="S10" s="10"/>
      <c r="T10" s="6"/>
      <c r="U10" s="6"/>
      <c r="V10" s="4"/>
      <c r="W10" s="8"/>
      <c r="X10" s="8"/>
      <c r="Y10" s="9"/>
      <c r="Z10" s="8"/>
      <c r="AA10" s="8"/>
      <c r="AB10" s="8"/>
      <c r="AI10" s="12">
        <v>1</v>
      </c>
      <c r="AJ10" s="4" t="e">
        <f t="shared" ref="AJ10:AJ20" si="30">X10/Y10</f>
        <v>#DIV/0!</v>
      </c>
      <c r="AK10" s="6" t="e">
        <f t="shared" ref="AK10:AK20" si="31">X10/W10</f>
        <v>#DIV/0!</v>
      </c>
      <c r="AL10" s="12" t="e">
        <f t="shared" si="2"/>
        <v>#DIV/0!</v>
      </c>
      <c r="AM10" s="2" t="e">
        <f t="shared" si="3"/>
        <v>#DIV/0!</v>
      </c>
      <c r="AN10" t="e">
        <f t="shared" ref="AN10:AP20" si="32">B10/$BV10</f>
        <v>#DIV/0!</v>
      </c>
      <c r="AO10" t="e">
        <f t="shared" si="32"/>
        <v>#DIV/0!</v>
      </c>
      <c r="AP10" t="e">
        <f t="shared" si="32"/>
        <v>#DIV/0!</v>
      </c>
      <c r="AQ10" s="3" t="e">
        <f t="shared" ref="AQ10:AR20" si="33">B10/$V10</f>
        <v>#DIV/0!</v>
      </c>
      <c r="AR10" s="2" t="e">
        <f t="shared" si="33"/>
        <v>#DIV/0!</v>
      </c>
      <c r="AS10" s="2" t="e">
        <f t="shared" ref="AS10:AT20" si="34">H10/$V10</f>
        <v>#DIV/0!</v>
      </c>
      <c r="AT10" s="2" t="e">
        <f t="shared" si="34"/>
        <v>#DIV/0!</v>
      </c>
      <c r="AU10" s="2" t="e">
        <f t="shared" ref="AU10:AU20" si="35">D10/$V10</f>
        <v>#DIV/0!</v>
      </c>
      <c r="AV10" s="2" t="e">
        <f t="shared" si="8"/>
        <v>#DIV/0!</v>
      </c>
      <c r="AW10" s="2" t="e">
        <f t="shared" ref="AW10:AW20" si="36">O10/$V10</f>
        <v>#DIV/0!</v>
      </c>
      <c r="AX10" s="3" t="e">
        <f t="shared" ref="AX10:AX20" si="37">P10/$V10-AW10</f>
        <v>#DIV/0!</v>
      </c>
      <c r="AY10" s="3" t="e">
        <f t="shared" ref="AY10:AY20" si="38">Q10/$V10-AW10</f>
        <v>#DIV/0!</v>
      </c>
      <c r="AZ10" s="2" t="e">
        <f t="shared" ref="AZ10:BA20" si="39">$AW10+AX10</f>
        <v>#DIV/0!</v>
      </c>
      <c r="BA10" s="2" t="e">
        <f t="shared" si="39"/>
        <v>#DIV/0!</v>
      </c>
      <c r="BB10" s="3" t="e">
        <f t="shared" ref="BB10:BF20" si="40">J10/$V10</f>
        <v>#DIV/0!</v>
      </c>
      <c r="BC10" s="3" t="e">
        <f t="shared" si="40"/>
        <v>#DIV/0!</v>
      </c>
      <c r="BD10" s="3" t="e">
        <f t="shared" si="40"/>
        <v>#DIV/0!</v>
      </c>
      <c r="BE10" s="3" t="e">
        <f t="shared" si="40"/>
        <v>#DIV/0!</v>
      </c>
      <c r="BF10" s="3" t="e">
        <f t="shared" si="40"/>
        <v>#DIV/0!</v>
      </c>
      <c r="BG10" s="3" t="e">
        <f t="shared" ref="BG10:BG20" si="41">Z10/X10</f>
        <v>#DIV/0!</v>
      </c>
      <c r="BH10" s="3" t="e">
        <f t="shared" ref="BH10:BH20" si="42">AA10/X10</f>
        <v>#DIV/0!</v>
      </c>
      <c r="BI10" t="e">
        <f t="shared" ref="BI10:BI20" si="43">B10/AF10</f>
        <v>#DIV/0!</v>
      </c>
      <c r="BJ10" s="8" t="e">
        <f t="shared" ref="BJ10:BJ20" si="44">W10/Y10</f>
        <v>#DIV/0!</v>
      </c>
      <c r="BK10" s="3" t="e">
        <f t="shared" ref="BK10:BK20" si="45">AB10/W10</f>
        <v>#DIV/0!</v>
      </c>
      <c r="BL10" s="3" t="e">
        <f t="shared" ref="BL10:BL20" si="46">AC10/W10</f>
        <v>#DIV/0!</v>
      </c>
      <c r="BM10" s="3" t="e">
        <f t="shared" ref="BM10:BM20" si="47">AC10/BJ10</f>
        <v>#DIV/0!</v>
      </c>
      <c r="BN10" s="13">
        <f t="shared" si="21"/>
        <v>0</v>
      </c>
      <c r="BO10" s="13">
        <f t="shared" ref="BO10:BO20" si="48">C10+D10+J10+M10</f>
        <v>0</v>
      </c>
      <c r="BP10" s="13">
        <f t="shared" ref="BP10:BP20" si="49">B10+N10</f>
        <v>0</v>
      </c>
      <c r="BQ10" s="10" t="e">
        <f t="shared" si="24"/>
        <v>#DIV/0!</v>
      </c>
      <c r="BR10" s="10" t="e">
        <f t="shared" si="24"/>
        <v>#DIV/0!</v>
      </c>
      <c r="BS10" s="10" t="e">
        <f t="shared" si="24"/>
        <v>#DIV/0!</v>
      </c>
      <c r="BT10" s="10" t="e">
        <f t="shared" ref="BT10:BT20" si="50">(J10+M10+N10)/O10</f>
        <v>#DIV/0!</v>
      </c>
      <c r="BU10" s="10" t="e">
        <f t="shared" ref="BU10:BU20" si="51">J10/$O10</f>
        <v>#DIV/0!</v>
      </c>
      <c r="BV10">
        <f t="shared" ref="BV10:BV20" si="52">SUM(B10:D10)</f>
        <v>0</v>
      </c>
      <c r="BW10" t="e">
        <f t="shared" ref="BW10:BW20" si="53">BV10/AF10</f>
        <v>#DIV/0!</v>
      </c>
      <c r="BX10" t="e">
        <f t="shared" ref="BX10:BX20" si="54">V10/X10</f>
        <v>#DIV/0!</v>
      </c>
    </row>
    <row r="11" spans="1:78" x14ac:dyDescent="0.2">
      <c r="A11" t="s">
        <v>5</v>
      </c>
      <c r="S11" s="10"/>
      <c r="T11" s="6"/>
      <c r="U11" s="6"/>
      <c r="V11" s="4"/>
      <c r="W11" s="8"/>
      <c r="X11" s="8"/>
      <c r="Y11" s="9"/>
      <c r="Z11" s="8"/>
      <c r="AA11" s="8"/>
      <c r="AB11" s="8"/>
      <c r="AI11" s="12">
        <v>1</v>
      </c>
      <c r="AJ11" s="4" t="e">
        <f t="shared" si="30"/>
        <v>#DIV/0!</v>
      </c>
      <c r="AK11" s="6" t="e">
        <f t="shared" si="31"/>
        <v>#DIV/0!</v>
      </c>
      <c r="AL11" s="12" t="e">
        <f t="shared" si="2"/>
        <v>#DIV/0!</v>
      </c>
      <c r="AM11" s="2" t="e">
        <f t="shared" si="3"/>
        <v>#DIV/0!</v>
      </c>
      <c r="AN11" t="e">
        <f t="shared" si="32"/>
        <v>#DIV/0!</v>
      </c>
      <c r="AO11" t="e">
        <f t="shared" si="32"/>
        <v>#DIV/0!</v>
      </c>
      <c r="AP11" t="e">
        <f t="shared" si="32"/>
        <v>#DIV/0!</v>
      </c>
      <c r="AQ11" s="3" t="e">
        <f t="shared" si="33"/>
        <v>#DIV/0!</v>
      </c>
      <c r="AR11" s="2" t="e">
        <f t="shared" si="33"/>
        <v>#DIV/0!</v>
      </c>
      <c r="AS11" s="2" t="e">
        <f t="shared" si="34"/>
        <v>#DIV/0!</v>
      </c>
      <c r="AT11" s="2" t="e">
        <f t="shared" si="34"/>
        <v>#DIV/0!</v>
      </c>
      <c r="AU11" s="2" t="e">
        <f t="shared" si="35"/>
        <v>#DIV/0!</v>
      </c>
      <c r="AV11" s="2" t="e">
        <f t="shared" si="8"/>
        <v>#DIV/0!</v>
      </c>
      <c r="AW11" s="2" t="e">
        <f t="shared" si="36"/>
        <v>#DIV/0!</v>
      </c>
      <c r="AX11" s="3" t="e">
        <f t="shared" si="37"/>
        <v>#DIV/0!</v>
      </c>
      <c r="AY11" s="3" t="e">
        <f t="shared" si="38"/>
        <v>#DIV/0!</v>
      </c>
      <c r="AZ11" s="2" t="e">
        <f t="shared" si="39"/>
        <v>#DIV/0!</v>
      </c>
      <c r="BA11" s="2" t="e">
        <f t="shared" si="39"/>
        <v>#DIV/0!</v>
      </c>
      <c r="BB11" s="3" t="e">
        <f t="shared" si="40"/>
        <v>#DIV/0!</v>
      </c>
      <c r="BC11" s="3" t="e">
        <f t="shared" si="40"/>
        <v>#DIV/0!</v>
      </c>
      <c r="BD11" s="3" t="e">
        <f t="shared" si="40"/>
        <v>#DIV/0!</v>
      </c>
      <c r="BE11" s="3" t="e">
        <f t="shared" si="40"/>
        <v>#DIV/0!</v>
      </c>
      <c r="BF11" s="3" t="e">
        <f t="shared" si="40"/>
        <v>#DIV/0!</v>
      </c>
      <c r="BG11" s="3" t="e">
        <f t="shared" si="41"/>
        <v>#DIV/0!</v>
      </c>
      <c r="BH11" s="3" t="e">
        <f t="shared" si="42"/>
        <v>#DIV/0!</v>
      </c>
      <c r="BI11" t="e">
        <f t="shared" si="43"/>
        <v>#DIV/0!</v>
      </c>
      <c r="BJ11" s="8" t="e">
        <f t="shared" si="44"/>
        <v>#DIV/0!</v>
      </c>
      <c r="BK11" s="3" t="e">
        <f t="shared" si="45"/>
        <v>#DIV/0!</v>
      </c>
      <c r="BL11" s="3" t="e">
        <f t="shared" si="46"/>
        <v>#DIV/0!</v>
      </c>
      <c r="BM11" s="3" t="e">
        <f t="shared" si="47"/>
        <v>#DIV/0!</v>
      </c>
      <c r="BN11" s="13">
        <f t="shared" si="21"/>
        <v>0</v>
      </c>
      <c r="BO11" s="13">
        <f t="shared" si="48"/>
        <v>0</v>
      </c>
      <c r="BP11" s="13">
        <f t="shared" si="49"/>
        <v>0</v>
      </c>
      <c r="BQ11" s="10" t="e">
        <f t="shared" si="24"/>
        <v>#DIV/0!</v>
      </c>
      <c r="BR11" s="10" t="e">
        <f t="shared" si="24"/>
        <v>#DIV/0!</v>
      </c>
      <c r="BS11" s="10" t="e">
        <f t="shared" si="24"/>
        <v>#DIV/0!</v>
      </c>
      <c r="BT11" s="10" t="e">
        <f t="shared" si="50"/>
        <v>#DIV/0!</v>
      </c>
      <c r="BU11" s="10" t="e">
        <f t="shared" si="51"/>
        <v>#DIV/0!</v>
      </c>
      <c r="BV11">
        <f t="shared" si="52"/>
        <v>0</v>
      </c>
      <c r="BW11" t="e">
        <f t="shared" si="53"/>
        <v>#DIV/0!</v>
      </c>
      <c r="BX11" t="e">
        <f t="shared" si="54"/>
        <v>#DIV/0!</v>
      </c>
    </row>
    <row r="12" spans="1:78" x14ac:dyDescent="0.2">
      <c r="A12" t="s">
        <v>7</v>
      </c>
      <c r="S12" s="10"/>
      <c r="T12" s="6"/>
      <c r="U12" s="6"/>
      <c r="V12" s="4"/>
      <c r="W12" s="8"/>
      <c r="X12" s="8"/>
      <c r="Y12" s="9"/>
      <c r="Z12" s="8"/>
      <c r="AA12" s="8"/>
      <c r="AB12" s="8"/>
      <c r="AI12" s="12">
        <v>1</v>
      </c>
      <c r="AJ12" s="4" t="e">
        <f t="shared" si="30"/>
        <v>#DIV/0!</v>
      </c>
      <c r="AK12" s="6" t="e">
        <f t="shared" si="31"/>
        <v>#DIV/0!</v>
      </c>
      <c r="AL12" s="12" t="e">
        <f t="shared" si="2"/>
        <v>#DIV/0!</v>
      </c>
      <c r="AM12" s="2" t="e">
        <f t="shared" si="3"/>
        <v>#DIV/0!</v>
      </c>
      <c r="AN12" t="e">
        <f t="shared" si="32"/>
        <v>#DIV/0!</v>
      </c>
      <c r="AO12" t="e">
        <f t="shared" si="32"/>
        <v>#DIV/0!</v>
      </c>
      <c r="AP12" t="e">
        <f t="shared" si="32"/>
        <v>#DIV/0!</v>
      </c>
      <c r="AQ12" s="3" t="e">
        <f t="shared" si="33"/>
        <v>#DIV/0!</v>
      </c>
      <c r="AR12" s="2" t="e">
        <f t="shared" si="33"/>
        <v>#DIV/0!</v>
      </c>
      <c r="AS12" s="2" t="e">
        <f t="shared" si="34"/>
        <v>#DIV/0!</v>
      </c>
      <c r="AT12" s="2" t="e">
        <f t="shared" si="34"/>
        <v>#DIV/0!</v>
      </c>
      <c r="AU12" s="2" t="e">
        <f t="shared" si="35"/>
        <v>#DIV/0!</v>
      </c>
      <c r="AV12" s="2" t="e">
        <f t="shared" si="8"/>
        <v>#DIV/0!</v>
      </c>
      <c r="AW12" s="2" t="e">
        <f t="shared" si="36"/>
        <v>#DIV/0!</v>
      </c>
      <c r="AX12" s="3" t="e">
        <f t="shared" si="37"/>
        <v>#DIV/0!</v>
      </c>
      <c r="AY12" s="3" t="e">
        <f t="shared" si="38"/>
        <v>#DIV/0!</v>
      </c>
      <c r="AZ12" s="2" t="e">
        <f t="shared" si="39"/>
        <v>#DIV/0!</v>
      </c>
      <c r="BA12" s="2" t="e">
        <f t="shared" si="39"/>
        <v>#DIV/0!</v>
      </c>
      <c r="BB12" s="3" t="e">
        <f t="shared" si="40"/>
        <v>#DIV/0!</v>
      </c>
      <c r="BC12" s="3" t="e">
        <f t="shared" si="40"/>
        <v>#DIV/0!</v>
      </c>
      <c r="BD12" s="3" t="e">
        <f t="shared" si="40"/>
        <v>#DIV/0!</v>
      </c>
      <c r="BE12" s="3" t="e">
        <f t="shared" si="40"/>
        <v>#DIV/0!</v>
      </c>
      <c r="BF12" s="3" t="e">
        <f t="shared" si="40"/>
        <v>#DIV/0!</v>
      </c>
      <c r="BG12" s="3" t="e">
        <f t="shared" si="41"/>
        <v>#DIV/0!</v>
      </c>
      <c r="BH12" s="3" t="e">
        <f t="shared" si="42"/>
        <v>#DIV/0!</v>
      </c>
      <c r="BI12" t="e">
        <f t="shared" si="43"/>
        <v>#DIV/0!</v>
      </c>
      <c r="BJ12" s="8" t="e">
        <f t="shared" si="44"/>
        <v>#DIV/0!</v>
      </c>
      <c r="BK12" s="3" t="e">
        <f t="shared" si="45"/>
        <v>#DIV/0!</v>
      </c>
      <c r="BL12" s="3" t="e">
        <f t="shared" si="46"/>
        <v>#DIV/0!</v>
      </c>
      <c r="BM12" s="3" t="e">
        <f t="shared" si="47"/>
        <v>#DIV/0!</v>
      </c>
      <c r="BN12" s="13">
        <f t="shared" si="21"/>
        <v>0</v>
      </c>
      <c r="BO12" s="13">
        <f t="shared" si="48"/>
        <v>0</v>
      </c>
      <c r="BP12" s="13">
        <f t="shared" si="49"/>
        <v>0</v>
      </c>
      <c r="BQ12" s="10" t="e">
        <f t="shared" si="24"/>
        <v>#DIV/0!</v>
      </c>
      <c r="BR12" s="10" t="e">
        <f t="shared" si="24"/>
        <v>#DIV/0!</v>
      </c>
      <c r="BS12" s="10" t="e">
        <f t="shared" si="24"/>
        <v>#DIV/0!</v>
      </c>
      <c r="BT12" s="10" t="e">
        <f t="shared" si="50"/>
        <v>#DIV/0!</v>
      </c>
      <c r="BU12" s="10" t="e">
        <f t="shared" si="51"/>
        <v>#DIV/0!</v>
      </c>
      <c r="BV12">
        <f t="shared" si="52"/>
        <v>0</v>
      </c>
      <c r="BW12" t="e">
        <f t="shared" si="53"/>
        <v>#DIV/0!</v>
      </c>
      <c r="BX12" t="e">
        <f t="shared" si="54"/>
        <v>#DIV/0!</v>
      </c>
    </row>
    <row r="13" spans="1:78" x14ac:dyDescent="0.2">
      <c r="A13" t="s">
        <v>10</v>
      </c>
      <c r="S13" s="10"/>
      <c r="T13" s="6"/>
      <c r="U13" s="6"/>
      <c r="V13" s="4"/>
      <c r="W13" s="8"/>
      <c r="X13" s="8"/>
      <c r="Y13" s="9"/>
      <c r="Z13" s="8"/>
      <c r="AA13" s="8"/>
      <c r="AB13" s="8"/>
      <c r="AI13" s="12">
        <v>1</v>
      </c>
      <c r="AJ13" s="4" t="e">
        <f t="shared" si="30"/>
        <v>#DIV/0!</v>
      </c>
      <c r="AK13" s="6" t="e">
        <f t="shared" si="31"/>
        <v>#DIV/0!</v>
      </c>
      <c r="AL13" s="12" t="e">
        <f t="shared" si="2"/>
        <v>#DIV/0!</v>
      </c>
      <c r="AM13" s="2" t="e">
        <f t="shared" si="3"/>
        <v>#DIV/0!</v>
      </c>
      <c r="AN13" t="e">
        <f t="shared" si="32"/>
        <v>#DIV/0!</v>
      </c>
      <c r="AO13" t="e">
        <f t="shared" si="32"/>
        <v>#DIV/0!</v>
      </c>
      <c r="AP13" t="e">
        <f t="shared" si="32"/>
        <v>#DIV/0!</v>
      </c>
      <c r="AQ13" s="3" t="e">
        <f t="shared" si="33"/>
        <v>#DIV/0!</v>
      </c>
      <c r="AR13" s="2" t="e">
        <f t="shared" si="33"/>
        <v>#DIV/0!</v>
      </c>
      <c r="AS13" s="2" t="e">
        <f t="shared" si="34"/>
        <v>#DIV/0!</v>
      </c>
      <c r="AT13" s="2" t="e">
        <f t="shared" si="34"/>
        <v>#DIV/0!</v>
      </c>
      <c r="AU13" s="2" t="e">
        <f t="shared" si="35"/>
        <v>#DIV/0!</v>
      </c>
      <c r="AV13" s="2" t="e">
        <f t="shared" si="8"/>
        <v>#DIV/0!</v>
      </c>
      <c r="AW13" s="2" t="e">
        <f t="shared" si="36"/>
        <v>#DIV/0!</v>
      </c>
      <c r="AX13" s="3" t="e">
        <f t="shared" si="37"/>
        <v>#DIV/0!</v>
      </c>
      <c r="AY13" s="3" t="e">
        <f t="shared" si="38"/>
        <v>#DIV/0!</v>
      </c>
      <c r="AZ13" s="2" t="e">
        <f t="shared" si="39"/>
        <v>#DIV/0!</v>
      </c>
      <c r="BA13" s="2" t="e">
        <f t="shared" si="39"/>
        <v>#DIV/0!</v>
      </c>
      <c r="BB13" s="3" t="e">
        <f t="shared" si="40"/>
        <v>#DIV/0!</v>
      </c>
      <c r="BC13" s="3" t="e">
        <f t="shared" si="40"/>
        <v>#DIV/0!</v>
      </c>
      <c r="BD13" s="3" t="e">
        <f t="shared" si="40"/>
        <v>#DIV/0!</v>
      </c>
      <c r="BE13" s="3" t="e">
        <f t="shared" si="40"/>
        <v>#DIV/0!</v>
      </c>
      <c r="BF13" s="3" t="e">
        <f t="shared" si="40"/>
        <v>#DIV/0!</v>
      </c>
      <c r="BG13" s="3" t="e">
        <f t="shared" si="41"/>
        <v>#DIV/0!</v>
      </c>
      <c r="BH13" s="3" t="e">
        <f t="shared" si="42"/>
        <v>#DIV/0!</v>
      </c>
      <c r="BI13" t="e">
        <f t="shared" si="43"/>
        <v>#DIV/0!</v>
      </c>
      <c r="BJ13" s="8" t="e">
        <f t="shared" si="44"/>
        <v>#DIV/0!</v>
      </c>
      <c r="BK13" s="3" t="e">
        <f t="shared" si="45"/>
        <v>#DIV/0!</v>
      </c>
      <c r="BL13" s="3" t="e">
        <f t="shared" si="46"/>
        <v>#DIV/0!</v>
      </c>
      <c r="BM13" s="3" t="e">
        <f t="shared" si="47"/>
        <v>#DIV/0!</v>
      </c>
      <c r="BN13" s="13">
        <f t="shared" si="21"/>
        <v>0</v>
      </c>
      <c r="BO13" s="13">
        <f t="shared" si="48"/>
        <v>0</v>
      </c>
      <c r="BP13" s="13">
        <f t="shared" si="49"/>
        <v>0</v>
      </c>
      <c r="BQ13" s="10" t="e">
        <f t="shared" si="24"/>
        <v>#DIV/0!</v>
      </c>
      <c r="BR13" s="10" t="e">
        <f t="shared" si="24"/>
        <v>#DIV/0!</v>
      </c>
      <c r="BS13" s="10" t="e">
        <f t="shared" si="24"/>
        <v>#DIV/0!</v>
      </c>
      <c r="BT13" s="10" t="e">
        <f t="shared" si="50"/>
        <v>#DIV/0!</v>
      </c>
      <c r="BU13" s="10" t="e">
        <f t="shared" si="51"/>
        <v>#DIV/0!</v>
      </c>
      <c r="BV13">
        <f t="shared" si="52"/>
        <v>0</v>
      </c>
      <c r="BW13" t="e">
        <f t="shared" si="53"/>
        <v>#DIV/0!</v>
      </c>
      <c r="BX13" t="e">
        <f t="shared" si="54"/>
        <v>#DIV/0!</v>
      </c>
    </row>
    <row r="14" spans="1:78" x14ac:dyDescent="0.2">
      <c r="A14" t="s">
        <v>9</v>
      </c>
      <c r="S14" s="10"/>
      <c r="T14" s="6"/>
      <c r="U14" s="6"/>
      <c r="V14" s="4"/>
      <c r="W14" s="8"/>
      <c r="X14" s="8"/>
      <c r="Y14" s="9"/>
      <c r="Z14" s="8"/>
      <c r="AA14" s="8"/>
      <c r="AB14" s="8"/>
      <c r="AI14" s="12">
        <v>1</v>
      </c>
      <c r="AJ14" s="4" t="e">
        <f t="shared" si="30"/>
        <v>#DIV/0!</v>
      </c>
      <c r="AK14" s="6" t="e">
        <f t="shared" si="31"/>
        <v>#DIV/0!</v>
      </c>
      <c r="AL14" s="12" t="e">
        <f t="shared" si="2"/>
        <v>#DIV/0!</v>
      </c>
      <c r="AM14" s="2" t="e">
        <f t="shared" si="3"/>
        <v>#DIV/0!</v>
      </c>
      <c r="AN14" t="e">
        <f t="shared" si="32"/>
        <v>#DIV/0!</v>
      </c>
      <c r="AO14" t="e">
        <f t="shared" si="32"/>
        <v>#DIV/0!</v>
      </c>
      <c r="AP14" t="e">
        <f t="shared" si="32"/>
        <v>#DIV/0!</v>
      </c>
      <c r="AQ14" s="3" t="e">
        <f t="shared" si="33"/>
        <v>#DIV/0!</v>
      </c>
      <c r="AR14" s="2" t="e">
        <f t="shared" si="33"/>
        <v>#DIV/0!</v>
      </c>
      <c r="AS14" s="2" t="e">
        <f t="shared" si="34"/>
        <v>#DIV/0!</v>
      </c>
      <c r="AT14" s="2" t="e">
        <f t="shared" si="34"/>
        <v>#DIV/0!</v>
      </c>
      <c r="AU14" s="2" t="e">
        <f t="shared" si="35"/>
        <v>#DIV/0!</v>
      </c>
      <c r="AV14" s="2" t="e">
        <f t="shared" si="8"/>
        <v>#DIV/0!</v>
      </c>
      <c r="AW14" s="2" t="e">
        <f t="shared" si="36"/>
        <v>#DIV/0!</v>
      </c>
      <c r="AX14" s="3" t="e">
        <f t="shared" si="37"/>
        <v>#DIV/0!</v>
      </c>
      <c r="AY14" s="3" t="e">
        <f t="shared" si="38"/>
        <v>#DIV/0!</v>
      </c>
      <c r="AZ14" s="2" t="e">
        <f t="shared" si="39"/>
        <v>#DIV/0!</v>
      </c>
      <c r="BA14" s="2" t="e">
        <f t="shared" si="39"/>
        <v>#DIV/0!</v>
      </c>
      <c r="BB14" s="3" t="e">
        <f t="shared" si="40"/>
        <v>#DIV/0!</v>
      </c>
      <c r="BC14" s="3" t="e">
        <f t="shared" si="40"/>
        <v>#DIV/0!</v>
      </c>
      <c r="BD14" s="3" t="e">
        <f t="shared" si="40"/>
        <v>#DIV/0!</v>
      </c>
      <c r="BE14" s="3" t="e">
        <f t="shared" si="40"/>
        <v>#DIV/0!</v>
      </c>
      <c r="BF14" s="3" t="e">
        <f t="shared" si="40"/>
        <v>#DIV/0!</v>
      </c>
      <c r="BG14" s="3" t="e">
        <f t="shared" si="41"/>
        <v>#DIV/0!</v>
      </c>
      <c r="BH14" s="3" t="e">
        <f t="shared" si="42"/>
        <v>#DIV/0!</v>
      </c>
      <c r="BI14" t="e">
        <f t="shared" si="43"/>
        <v>#DIV/0!</v>
      </c>
      <c r="BJ14" s="8" t="e">
        <f t="shared" si="44"/>
        <v>#DIV/0!</v>
      </c>
      <c r="BK14" s="3" t="e">
        <f t="shared" si="45"/>
        <v>#DIV/0!</v>
      </c>
      <c r="BL14" s="3" t="e">
        <f t="shared" si="46"/>
        <v>#DIV/0!</v>
      </c>
      <c r="BM14" s="3" t="e">
        <f t="shared" si="47"/>
        <v>#DIV/0!</v>
      </c>
      <c r="BN14" s="13">
        <f t="shared" si="21"/>
        <v>0</v>
      </c>
      <c r="BO14" s="13">
        <f t="shared" si="48"/>
        <v>0</v>
      </c>
      <c r="BP14" s="13">
        <f t="shared" si="49"/>
        <v>0</v>
      </c>
      <c r="BQ14" s="10" t="e">
        <f t="shared" si="24"/>
        <v>#DIV/0!</v>
      </c>
      <c r="BR14" s="10" t="e">
        <f t="shared" si="24"/>
        <v>#DIV/0!</v>
      </c>
      <c r="BS14" s="10" t="e">
        <f t="shared" si="24"/>
        <v>#DIV/0!</v>
      </c>
      <c r="BT14" s="10" t="e">
        <f t="shared" si="50"/>
        <v>#DIV/0!</v>
      </c>
      <c r="BU14" s="10" t="e">
        <f t="shared" si="51"/>
        <v>#DIV/0!</v>
      </c>
      <c r="BV14">
        <f t="shared" si="52"/>
        <v>0</v>
      </c>
      <c r="BW14" t="e">
        <f t="shared" si="53"/>
        <v>#DIV/0!</v>
      </c>
      <c r="BX14" t="e">
        <f t="shared" si="54"/>
        <v>#DIV/0!</v>
      </c>
    </row>
    <row r="15" spans="1:78" x14ac:dyDescent="0.2">
      <c r="A15" t="s">
        <v>11</v>
      </c>
      <c r="S15" s="10"/>
      <c r="T15" s="6"/>
      <c r="U15" s="6"/>
      <c r="V15" s="4"/>
      <c r="W15" s="8"/>
      <c r="X15" s="8"/>
      <c r="Y15" s="9"/>
      <c r="Z15" s="8"/>
      <c r="AA15" s="8"/>
      <c r="AB15" s="8"/>
      <c r="AI15" s="12">
        <v>0.5</v>
      </c>
      <c r="AJ15" s="4" t="e">
        <f t="shared" si="30"/>
        <v>#DIV/0!</v>
      </c>
      <c r="AK15" s="6" t="e">
        <f t="shared" si="31"/>
        <v>#DIV/0!</v>
      </c>
      <c r="AL15" s="12" t="e">
        <f t="shared" si="2"/>
        <v>#DIV/0!</v>
      </c>
      <c r="AM15" s="2" t="e">
        <f t="shared" si="3"/>
        <v>#DIV/0!</v>
      </c>
      <c r="AN15" t="e">
        <f t="shared" si="32"/>
        <v>#DIV/0!</v>
      </c>
      <c r="AO15" t="e">
        <f t="shared" si="32"/>
        <v>#DIV/0!</v>
      </c>
      <c r="AP15" t="e">
        <f t="shared" si="32"/>
        <v>#DIV/0!</v>
      </c>
      <c r="AQ15" s="3" t="e">
        <f t="shared" si="33"/>
        <v>#DIV/0!</v>
      </c>
      <c r="AR15" s="2" t="e">
        <f t="shared" si="33"/>
        <v>#DIV/0!</v>
      </c>
      <c r="AS15" s="2" t="e">
        <f t="shared" si="34"/>
        <v>#DIV/0!</v>
      </c>
      <c r="AT15" s="2" t="e">
        <f t="shared" si="34"/>
        <v>#DIV/0!</v>
      </c>
      <c r="AU15" s="2" t="e">
        <f t="shared" si="35"/>
        <v>#DIV/0!</v>
      </c>
      <c r="AV15" s="2" t="e">
        <f t="shared" si="8"/>
        <v>#DIV/0!</v>
      </c>
      <c r="AW15" s="2" t="e">
        <f t="shared" si="36"/>
        <v>#DIV/0!</v>
      </c>
      <c r="AX15" s="3" t="e">
        <f t="shared" si="37"/>
        <v>#DIV/0!</v>
      </c>
      <c r="AY15" s="3" t="e">
        <f t="shared" si="38"/>
        <v>#DIV/0!</v>
      </c>
      <c r="AZ15" s="2" t="e">
        <f t="shared" si="39"/>
        <v>#DIV/0!</v>
      </c>
      <c r="BA15" s="2" t="e">
        <f t="shared" si="39"/>
        <v>#DIV/0!</v>
      </c>
      <c r="BB15" s="3" t="e">
        <f t="shared" si="40"/>
        <v>#DIV/0!</v>
      </c>
      <c r="BC15" s="3" t="e">
        <f t="shared" si="40"/>
        <v>#DIV/0!</v>
      </c>
      <c r="BD15" s="3" t="e">
        <f t="shared" si="40"/>
        <v>#DIV/0!</v>
      </c>
      <c r="BE15" s="3" t="e">
        <f t="shared" si="40"/>
        <v>#DIV/0!</v>
      </c>
      <c r="BF15" s="3" t="e">
        <f t="shared" si="40"/>
        <v>#DIV/0!</v>
      </c>
      <c r="BG15" s="3" t="e">
        <f t="shared" si="41"/>
        <v>#DIV/0!</v>
      </c>
      <c r="BH15" s="3" t="e">
        <f t="shared" si="42"/>
        <v>#DIV/0!</v>
      </c>
      <c r="BI15" t="e">
        <f t="shared" si="43"/>
        <v>#DIV/0!</v>
      </c>
      <c r="BJ15" s="8" t="e">
        <f t="shared" si="44"/>
        <v>#DIV/0!</v>
      </c>
      <c r="BK15" s="3" t="e">
        <f t="shared" si="45"/>
        <v>#DIV/0!</v>
      </c>
      <c r="BL15" s="3" t="e">
        <f t="shared" si="46"/>
        <v>#DIV/0!</v>
      </c>
      <c r="BM15" s="3" t="e">
        <f t="shared" si="47"/>
        <v>#DIV/0!</v>
      </c>
      <c r="BN15" s="13">
        <f t="shared" si="21"/>
        <v>0</v>
      </c>
      <c r="BO15" s="13">
        <f t="shared" si="48"/>
        <v>0</v>
      </c>
      <c r="BP15" s="13">
        <f t="shared" si="49"/>
        <v>0</v>
      </c>
      <c r="BQ15" s="10" t="e">
        <f t="shared" si="24"/>
        <v>#DIV/0!</v>
      </c>
      <c r="BR15" s="10" t="e">
        <f t="shared" si="24"/>
        <v>#DIV/0!</v>
      </c>
      <c r="BS15" s="10" t="e">
        <f t="shared" si="24"/>
        <v>#DIV/0!</v>
      </c>
      <c r="BT15" s="10" t="e">
        <f t="shared" si="50"/>
        <v>#DIV/0!</v>
      </c>
      <c r="BU15" s="10" t="e">
        <f t="shared" si="51"/>
        <v>#DIV/0!</v>
      </c>
      <c r="BV15">
        <f t="shared" si="52"/>
        <v>0</v>
      </c>
      <c r="BW15" t="e">
        <f t="shared" si="53"/>
        <v>#DIV/0!</v>
      </c>
      <c r="BX15" t="e">
        <f t="shared" si="54"/>
        <v>#DIV/0!</v>
      </c>
    </row>
    <row r="16" spans="1:78" x14ac:dyDescent="0.2">
      <c r="A16" t="s">
        <v>12</v>
      </c>
      <c r="S16" s="10"/>
      <c r="U16" s="6"/>
      <c r="AI16" s="12">
        <v>1</v>
      </c>
      <c r="AJ16" s="4" t="e">
        <f t="shared" si="30"/>
        <v>#DIV/0!</v>
      </c>
      <c r="AK16" s="6" t="e">
        <f t="shared" si="31"/>
        <v>#DIV/0!</v>
      </c>
      <c r="AL16" s="12" t="e">
        <f t="shared" si="2"/>
        <v>#DIV/0!</v>
      </c>
      <c r="AM16" s="2" t="e">
        <f t="shared" si="3"/>
        <v>#DIV/0!</v>
      </c>
      <c r="AN16" t="e">
        <f t="shared" si="32"/>
        <v>#DIV/0!</v>
      </c>
      <c r="AO16" t="e">
        <f t="shared" si="32"/>
        <v>#DIV/0!</v>
      </c>
      <c r="AP16" t="e">
        <f t="shared" si="32"/>
        <v>#DIV/0!</v>
      </c>
      <c r="AQ16" s="3" t="e">
        <f t="shared" si="33"/>
        <v>#DIV/0!</v>
      </c>
      <c r="AR16" s="2" t="e">
        <f t="shared" si="33"/>
        <v>#DIV/0!</v>
      </c>
      <c r="AS16" s="2" t="e">
        <f t="shared" si="34"/>
        <v>#DIV/0!</v>
      </c>
      <c r="AT16" s="2" t="e">
        <f t="shared" si="34"/>
        <v>#DIV/0!</v>
      </c>
      <c r="AU16" s="2" t="e">
        <f t="shared" si="35"/>
        <v>#DIV/0!</v>
      </c>
      <c r="AV16" s="2" t="e">
        <f t="shared" si="8"/>
        <v>#DIV/0!</v>
      </c>
      <c r="AW16" s="2" t="e">
        <f t="shared" si="36"/>
        <v>#DIV/0!</v>
      </c>
      <c r="AX16" s="3" t="e">
        <f t="shared" si="37"/>
        <v>#DIV/0!</v>
      </c>
      <c r="AY16" s="3" t="e">
        <f t="shared" si="38"/>
        <v>#DIV/0!</v>
      </c>
      <c r="AZ16" s="2" t="e">
        <f t="shared" si="39"/>
        <v>#DIV/0!</v>
      </c>
      <c r="BA16" s="2" t="e">
        <f t="shared" si="39"/>
        <v>#DIV/0!</v>
      </c>
      <c r="BB16" s="3" t="e">
        <f t="shared" si="40"/>
        <v>#DIV/0!</v>
      </c>
      <c r="BC16" s="3" t="e">
        <f t="shared" si="40"/>
        <v>#DIV/0!</v>
      </c>
      <c r="BD16" s="3" t="e">
        <f t="shared" si="40"/>
        <v>#DIV/0!</v>
      </c>
      <c r="BE16" s="3" t="e">
        <f t="shared" si="40"/>
        <v>#DIV/0!</v>
      </c>
      <c r="BF16" s="3" t="e">
        <f t="shared" si="40"/>
        <v>#DIV/0!</v>
      </c>
      <c r="BG16" s="3" t="e">
        <f t="shared" si="41"/>
        <v>#DIV/0!</v>
      </c>
      <c r="BH16" s="3" t="e">
        <f t="shared" si="42"/>
        <v>#DIV/0!</v>
      </c>
      <c r="BI16" t="e">
        <f t="shared" si="43"/>
        <v>#DIV/0!</v>
      </c>
      <c r="BJ16" s="8" t="e">
        <f t="shared" si="44"/>
        <v>#DIV/0!</v>
      </c>
      <c r="BK16" s="3" t="e">
        <f t="shared" si="45"/>
        <v>#DIV/0!</v>
      </c>
      <c r="BL16" s="3" t="e">
        <f t="shared" si="46"/>
        <v>#DIV/0!</v>
      </c>
      <c r="BM16" s="3" t="e">
        <f t="shared" si="47"/>
        <v>#DIV/0!</v>
      </c>
      <c r="BN16" s="13">
        <f t="shared" si="21"/>
        <v>0</v>
      </c>
      <c r="BO16" s="13">
        <f t="shared" si="48"/>
        <v>0</v>
      </c>
      <c r="BP16" s="13">
        <f t="shared" si="49"/>
        <v>0</v>
      </c>
      <c r="BQ16" s="10" t="e">
        <f t="shared" si="24"/>
        <v>#DIV/0!</v>
      </c>
      <c r="BR16" s="10" t="e">
        <f t="shared" si="24"/>
        <v>#DIV/0!</v>
      </c>
      <c r="BS16" s="10" t="e">
        <f t="shared" si="24"/>
        <v>#DIV/0!</v>
      </c>
      <c r="BT16" s="10" t="e">
        <f t="shared" si="50"/>
        <v>#DIV/0!</v>
      </c>
      <c r="BU16" s="10" t="e">
        <f t="shared" si="51"/>
        <v>#DIV/0!</v>
      </c>
      <c r="BV16">
        <f t="shared" si="52"/>
        <v>0</v>
      </c>
      <c r="BW16" t="e">
        <f t="shared" si="53"/>
        <v>#DIV/0!</v>
      </c>
      <c r="BX16" t="e">
        <f t="shared" si="54"/>
        <v>#DIV/0!</v>
      </c>
    </row>
    <row r="17" spans="1:76" x14ac:dyDescent="0.2">
      <c r="A17" t="s">
        <v>16</v>
      </c>
      <c r="S17" s="10"/>
      <c r="T17" s="6"/>
      <c r="U17" s="6"/>
      <c r="V17" s="4"/>
      <c r="W17" s="8"/>
      <c r="X17" s="8"/>
      <c r="Y17" s="9"/>
      <c r="Z17" s="8"/>
      <c r="AA17" s="8"/>
      <c r="AB17" s="8"/>
      <c r="AI17" s="12">
        <v>1</v>
      </c>
      <c r="AJ17" s="4" t="e">
        <f t="shared" si="30"/>
        <v>#DIV/0!</v>
      </c>
      <c r="AK17" s="6" t="e">
        <f t="shared" si="31"/>
        <v>#DIV/0!</v>
      </c>
      <c r="AL17" s="12" t="e">
        <f t="shared" si="2"/>
        <v>#DIV/0!</v>
      </c>
      <c r="AM17" s="2" t="e">
        <f t="shared" si="3"/>
        <v>#DIV/0!</v>
      </c>
      <c r="AN17" t="e">
        <f t="shared" si="32"/>
        <v>#DIV/0!</v>
      </c>
      <c r="AO17" t="e">
        <f t="shared" si="32"/>
        <v>#DIV/0!</v>
      </c>
      <c r="AP17" t="e">
        <f t="shared" si="32"/>
        <v>#DIV/0!</v>
      </c>
      <c r="AQ17" s="3" t="e">
        <f t="shared" si="33"/>
        <v>#DIV/0!</v>
      </c>
      <c r="AR17" s="2" t="e">
        <f t="shared" si="33"/>
        <v>#DIV/0!</v>
      </c>
      <c r="AS17" s="2" t="e">
        <f t="shared" si="34"/>
        <v>#DIV/0!</v>
      </c>
      <c r="AT17" s="2" t="e">
        <f t="shared" si="34"/>
        <v>#DIV/0!</v>
      </c>
      <c r="AU17" s="2" t="e">
        <f t="shared" si="35"/>
        <v>#DIV/0!</v>
      </c>
      <c r="AV17" s="2" t="e">
        <f t="shared" si="8"/>
        <v>#DIV/0!</v>
      </c>
      <c r="AW17" s="2" t="e">
        <f t="shared" si="36"/>
        <v>#DIV/0!</v>
      </c>
      <c r="AX17" s="3" t="e">
        <f t="shared" si="37"/>
        <v>#DIV/0!</v>
      </c>
      <c r="AY17" s="3" t="e">
        <f t="shared" si="38"/>
        <v>#DIV/0!</v>
      </c>
      <c r="AZ17" s="2" t="e">
        <f t="shared" si="39"/>
        <v>#DIV/0!</v>
      </c>
      <c r="BA17" s="2" t="e">
        <f t="shared" si="39"/>
        <v>#DIV/0!</v>
      </c>
      <c r="BB17" s="3" t="e">
        <f t="shared" si="40"/>
        <v>#DIV/0!</v>
      </c>
      <c r="BC17" s="3" t="e">
        <f t="shared" si="40"/>
        <v>#DIV/0!</v>
      </c>
      <c r="BD17" s="3" t="e">
        <f t="shared" si="40"/>
        <v>#DIV/0!</v>
      </c>
      <c r="BE17" s="3" t="e">
        <f t="shared" si="40"/>
        <v>#DIV/0!</v>
      </c>
      <c r="BF17" s="3" t="e">
        <f t="shared" si="40"/>
        <v>#DIV/0!</v>
      </c>
      <c r="BG17" s="3" t="e">
        <f t="shared" si="41"/>
        <v>#DIV/0!</v>
      </c>
      <c r="BH17" s="3" t="e">
        <f t="shared" si="42"/>
        <v>#DIV/0!</v>
      </c>
      <c r="BI17" t="e">
        <f t="shared" si="43"/>
        <v>#DIV/0!</v>
      </c>
      <c r="BJ17" s="8" t="e">
        <f t="shared" si="44"/>
        <v>#DIV/0!</v>
      </c>
      <c r="BK17" s="3" t="e">
        <f t="shared" si="45"/>
        <v>#DIV/0!</v>
      </c>
      <c r="BL17" s="3" t="e">
        <f t="shared" si="46"/>
        <v>#DIV/0!</v>
      </c>
      <c r="BM17" s="3" t="e">
        <f t="shared" si="47"/>
        <v>#DIV/0!</v>
      </c>
      <c r="BN17" s="13">
        <f t="shared" si="21"/>
        <v>0</v>
      </c>
      <c r="BO17" s="13">
        <f t="shared" si="48"/>
        <v>0</v>
      </c>
      <c r="BP17" s="13">
        <f t="shared" si="49"/>
        <v>0</v>
      </c>
      <c r="BQ17" s="10" t="e">
        <f t="shared" si="24"/>
        <v>#DIV/0!</v>
      </c>
      <c r="BR17" s="10" t="e">
        <f t="shared" si="24"/>
        <v>#DIV/0!</v>
      </c>
      <c r="BS17" s="10" t="e">
        <f t="shared" si="24"/>
        <v>#DIV/0!</v>
      </c>
      <c r="BT17" s="10" t="e">
        <f t="shared" si="50"/>
        <v>#DIV/0!</v>
      </c>
      <c r="BU17" s="10" t="e">
        <f t="shared" si="51"/>
        <v>#DIV/0!</v>
      </c>
      <c r="BV17">
        <f t="shared" si="52"/>
        <v>0</v>
      </c>
      <c r="BW17" t="e">
        <f t="shared" si="53"/>
        <v>#DIV/0!</v>
      </c>
      <c r="BX17" t="e">
        <f t="shared" si="54"/>
        <v>#DIV/0!</v>
      </c>
    </row>
    <row r="18" spans="1:76" x14ac:dyDescent="0.2">
      <c r="A18" t="s">
        <v>60</v>
      </c>
      <c r="S18" s="10"/>
      <c r="U18" s="6"/>
      <c r="AI18" s="12">
        <v>0.5</v>
      </c>
      <c r="AJ18" s="4" t="e">
        <f t="shared" si="30"/>
        <v>#DIV/0!</v>
      </c>
      <c r="AK18" s="6" t="e">
        <f t="shared" si="31"/>
        <v>#DIV/0!</v>
      </c>
      <c r="AL18" s="12" t="e">
        <f t="shared" si="2"/>
        <v>#DIV/0!</v>
      </c>
      <c r="AM18" s="2" t="e">
        <f t="shared" si="3"/>
        <v>#DIV/0!</v>
      </c>
      <c r="AN18" t="e">
        <f t="shared" si="32"/>
        <v>#DIV/0!</v>
      </c>
      <c r="AO18" t="e">
        <f t="shared" si="32"/>
        <v>#DIV/0!</v>
      </c>
      <c r="AP18" t="e">
        <f t="shared" si="32"/>
        <v>#DIV/0!</v>
      </c>
      <c r="AQ18" s="3" t="e">
        <f t="shared" si="33"/>
        <v>#DIV/0!</v>
      </c>
      <c r="AR18" s="2" t="e">
        <f t="shared" si="33"/>
        <v>#DIV/0!</v>
      </c>
      <c r="AS18" s="2" t="e">
        <f t="shared" si="34"/>
        <v>#DIV/0!</v>
      </c>
      <c r="AT18" s="2" t="e">
        <f t="shared" si="34"/>
        <v>#DIV/0!</v>
      </c>
      <c r="AU18" s="2" t="e">
        <f t="shared" si="35"/>
        <v>#DIV/0!</v>
      </c>
      <c r="AV18" s="2" t="e">
        <f t="shared" si="8"/>
        <v>#DIV/0!</v>
      </c>
      <c r="AW18" s="2" t="e">
        <f t="shared" si="36"/>
        <v>#DIV/0!</v>
      </c>
      <c r="AX18" s="3" t="e">
        <f t="shared" si="37"/>
        <v>#DIV/0!</v>
      </c>
      <c r="AY18" s="3" t="e">
        <f t="shared" si="38"/>
        <v>#DIV/0!</v>
      </c>
      <c r="AZ18" s="2" t="e">
        <f t="shared" si="39"/>
        <v>#DIV/0!</v>
      </c>
      <c r="BA18" s="2" t="e">
        <f t="shared" si="39"/>
        <v>#DIV/0!</v>
      </c>
      <c r="BB18" s="3" t="e">
        <f t="shared" si="40"/>
        <v>#DIV/0!</v>
      </c>
      <c r="BC18" s="3" t="e">
        <f t="shared" si="40"/>
        <v>#DIV/0!</v>
      </c>
      <c r="BD18" s="3" t="e">
        <f t="shared" si="40"/>
        <v>#DIV/0!</v>
      </c>
      <c r="BE18" s="3" t="e">
        <f t="shared" si="40"/>
        <v>#DIV/0!</v>
      </c>
      <c r="BF18" s="3" t="e">
        <f t="shared" si="40"/>
        <v>#DIV/0!</v>
      </c>
      <c r="BG18" s="3" t="e">
        <f t="shared" si="41"/>
        <v>#DIV/0!</v>
      </c>
      <c r="BH18" s="3" t="e">
        <f t="shared" si="42"/>
        <v>#DIV/0!</v>
      </c>
      <c r="BI18" t="e">
        <f t="shared" si="43"/>
        <v>#DIV/0!</v>
      </c>
      <c r="BJ18" s="8" t="e">
        <f t="shared" si="44"/>
        <v>#DIV/0!</v>
      </c>
      <c r="BK18" s="3" t="e">
        <f t="shared" si="45"/>
        <v>#DIV/0!</v>
      </c>
      <c r="BL18" s="3" t="e">
        <f t="shared" si="46"/>
        <v>#DIV/0!</v>
      </c>
      <c r="BM18" s="3" t="e">
        <f t="shared" si="47"/>
        <v>#DIV/0!</v>
      </c>
      <c r="BN18" s="13">
        <f t="shared" si="21"/>
        <v>0</v>
      </c>
      <c r="BO18" s="13">
        <f t="shared" si="48"/>
        <v>0</v>
      </c>
      <c r="BP18" s="13">
        <f t="shared" si="49"/>
        <v>0</v>
      </c>
      <c r="BQ18" s="10" t="e">
        <f t="shared" si="24"/>
        <v>#DIV/0!</v>
      </c>
      <c r="BR18" s="10" t="e">
        <f t="shared" si="24"/>
        <v>#DIV/0!</v>
      </c>
      <c r="BS18" s="10" t="e">
        <f t="shared" si="24"/>
        <v>#DIV/0!</v>
      </c>
      <c r="BT18" s="10" t="e">
        <f t="shared" si="50"/>
        <v>#DIV/0!</v>
      </c>
      <c r="BU18" s="10" t="e">
        <f t="shared" si="51"/>
        <v>#DIV/0!</v>
      </c>
      <c r="BV18">
        <f t="shared" si="52"/>
        <v>0</v>
      </c>
      <c r="BW18" t="e">
        <f t="shared" si="53"/>
        <v>#DIV/0!</v>
      </c>
      <c r="BX18" t="e">
        <f t="shared" si="54"/>
        <v>#DIV/0!</v>
      </c>
    </row>
    <row r="19" spans="1:76" x14ac:dyDescent="0.2">
      <c r="A19" t="s">
        <v>62</v>
      </c>
      <c r="S19" s="10"/>
      <c r="U19" s="6"/>
      <c r="W19" s="11"/>
      <c r="X19" s="11"/>
      <c r="AI19" s="12">
        <v>0.5</v>
      </c>
      <c r="AJ19" s="4" t="e">
        <f t="shared" si="30"/>
        <v>#DIV/0!</v>
      </c>
      <c r="AK19" s="6" t="e">
        <f t="shared" si="31"/>
        <v>#DIV/0!</v>
      </c>
      <c r="AL19" s="12" t="e">
        <f t="shared" si="2"/>
        <v>#DIV/0!</v>
      </c>
      <c r="AM19" s="2" t="e">
        <f t="shared" si="3"/>
        <v>#DIV/0!</v>
      </c>
      <c r="AN19" t="e">
        <f t="shared" si="32"/>
        <v>#DIV/0!</v>
      </c>
      <c r="AO19" t="e">
        <f t="shared" si="32"/>
        <v>#DIV/0!</v>
      </c>
      <c r="AP19" t="e">
        <f t="shared" si="32"/>
        <v>#DIV/0!</v>
      </c>
      <c r="AQ19" s="3" t="e">
        <f t="shared" si="33"/>
        <v>#DIV/0!</v>
      </c>
      <c r="AR19" s="2" t="e">
        <f t="shared" si="33"/>
        <v>#DIV/0!</v>
      </c>
      <c r="AS19" s="2" t="e">
        <f t="shared" si="34"/>
        <v>#DIV/0!</v>
      </c>
      <c r="AT19" s="2" t="e">
        <f t="shared" si="34"/>
        <v>#DIV/0!</v>
      </c>
      <c r="AU19" s="2" t="e">
        <f t="shared" si="35"/>
        <v>#DIV/0!</v>
      </c>
      <c r="AV19" s="2" t="e">
        <f t="shared" si="8"/>
        <v>#DIV/0!</v>
      </c>
      <c r="AW19" s="2" t="e">
        <f t="shared" si="36"/>
        <v>#DIV/0!</v>
      </c>
      <c r="AX19" s="3" t="e">
        <f t="shared" si="37"/>
        <v>#DIV/0!</v>
      </c>
      <c r="AY19" s="3" t="e">
        <f t="shared" si="38"/>
        <v>#DIV/0!</v>
      </c>
      <c r="AZ19" s="2" t="e">
        <f t="shared" si="39"/>
        <v>#DIV/0!</v>
      </c>
      <c r="BA19" s="2" t="e">
        <f t="shared" si="39"/>
        <v>#DIV/0!</v>
      </c>
      <c r="BB19" s="3" t="e">
        <f t="shared" si="40"/>
        <v>#DIV/0!</v>
      </c>
      <c r="BC19" s="3" t="e">
        <f t="shared" si="40"/>
        <v>#DIV/0!</v>
      </c>
      <c r="BD19" s="3" t="e">
        <f t="shared" si="40"/>
        <v>#DIV/0!</v>
      </c>
      <c r="BE19" s="3" t="e">
        <f t="shared" si="40"/>
        <v>#DIV/0!</v>
      </c>
      <c r="BF19" s="3" t="e">
        <f t="shared" si="40"/>
        <v>#DIV/0!</v>
      </c>
      <c r="BG19" s="3" t="e">
        <f t="shared" si="41"/>
        <v>#DIV/0!</v>
      </c>
      <c r="BH19" s="3" t="e">
        <f t="shared" si="42"/>
        <v>#DIV/0!</v>
      </c>
      <c r="BI19" t="e">
        <f t="shared" si="43"/>
        <v>#DIV/0!</v>
      </c>
      <c r="BJ19" s="8" t="e">
        <f t="shared" si="44"/>
        <v>#DIV/0!</v>
      </c>
      <c r="BK19" s="3" t="e">
        <f t="shared" si="45"/>
        <v>#DIV/0!</v>
      </c>
      <c r="BL19" s="3" t="e">
        <f t="shared" si="46"/>
        <v>#DIV/0!</v>
      </c>
      <c r="BM19" s="3" t="e">
        <f t="shared" si="47"/>
        <v>#DIV/0!</v>
      </c>
      <c r="BN19" s="13">
        <f t="shared" si="21"/>
        <v>0</v>
      </c>
      <c r="BO19" s="13">
        <f t="shared" si="48"/>
        <v>0</v>
      </c>
      <c r="BP19" s="13">
        <f t="shared" si="49"/>
        <v>0</v>
      </c>
      <c r="BQ19" s="10" t="e">
        <f t="shared" si="24"/>
        <v>#DIV/0!</v>
      </c>
      <c r="BR19" s="10" t="e">
        <f t="shared" si="24"/>
        <v>#DIV/0!</v>
      </c>
      <c r="BS19" s="10" t="e">
        <f t="shared" si="24"/>
        <v>#DIV/0!</v>
      </c>
      <c r="BT19" s="10" t="e">
        <f t="shared" si="50"/>
        <v>#DIV/0!</v>
      </c>
      <c r="BU19" s="10" t="e">
        <f t="shared" si="51"/>
        <v>#DIV/0!</v>
      </c>
      <c r="BV19">
        <f t="shared" si="52"/>
        <v>0</v>
      </c>
      <c r="BW19" t="e">
        <f t="shared" si="53"/>
        <v>#DIV/0!</v>
      </c>
      <c r="BX19" t="e">
        <f t="shared" si="54"/>
        <v>#DIV/0!</v>
      </c>
    </row>
    <row r="20" spans="1:76" x14ac:dyDescent="0.2">
      <c r="A20" t="s">
        <v>63</v>
      </c>
      <c r="S20" s="10"/>
      <c r="U20" s="6"/>
      <c r="AI20" s="12">
        <v>0.5</v>
      </c>
      <c r="AJ20" s="4" t="e">
        <f t="shared" si="30"/>
        <v>#DIV/0!</v>
      </c>
      <c r="AK20" s="6" t="e">
        <f t="shared" si="31"/>
        <v>#DIV/0!</v>
      </c>
      <c r="AL20" s="12" t="e">
        <f>1/SQRT(AK20)</f>
        <v>#DIV/0!</v>
      </c>
      <c r="AM20" s="2" t="e">
        <f>S20/SQRT(AK20)</f>
        <v>#DIV/0!</v>
      </c>
      <c r="AN20" t="e">
        <f t="shared" si="32"/>
        <v>#DIV/0!</v>
      </c>
      <c r="AO20" t="e">
        <f t="shared" si="32"/>
        <v>#DIV/0!</v>
      </c>
      <c r="AP20" t="e">
        <f t="shared" si="32"/>
        <v>#DIV/0!</v>
      </c>
      <c r="AQ20" s="3" t="e">
        <f t="shared" si="33"/>
        <v>#DIV/0!</v>
      </c>
      <c r="AR20" s="2" t="e">
        <f t="shared" si="33"/>
        <v>#DIV/0!</v>
      </c>
      <c r="AS20" s="2" t="e">
        <f t="shared" si="34"/>
        <v>#DIV/0!</v>
      </c>
      <c r="AT20" s="2" t="e">
        <f t="shared" si="34"/>
        <v>#DIV/0!</v>
      </c>
      <c r="AU20" s="2" t="e">
        <f t="shared" si="35"/>
        <v>#DIV/0!</v>
      </c>
      <c r="AV20" s="2" t="e">
        <f t="shared" si="8"/>
        <v>#DIV/0!</v>
      </c>
      <c r="AW20" s="2" t="e">
        <f t="shared" si="36"/>
        <v>#DIV/0!</v>
      </c>
      <c r="AX20" s="3" t="e">
        <f t="shared" si="37"/>
        <v>#DIV/0!</v>
      </c>
      <c r="AY20" s="3" t="e">
        <f t="shared" si="38"/>
        <v>#DIV/0!</v>
      </c>
      <c r="AZ20" s="2" t="e">
        <f t="shared" si="39"/>
        <v>#DIV/0!</v>
      </c>
      <c r="BA20" s="2" t="e">
        <f t="shared" si="39"/>
        <v>#DIV/0!</v>
      </c>
      <c r="BB20" s="3" t="e">
        <f t="shared" si="40"/>
        <v>#DIV/0!</v>
      </c>
      <c r="BC20" s="3" t="e">
        <f t="shared" si="40"/>
        <v>#DIV/0!</v>
      </c>
      <c r="BD20" s="3" t="e">
        <f t="shared" si="40"/>
        <v>#DIV/0!</v>
      </c>
      <c r="BE20" s="3" t="e">
        <f t="shared" si="40"/>
        <v>#DIV/0!</v>
      </c>
      <c r="BF20" s="3" t="e">
        <f t="shared" si="40"/>
        <v>#DIV/0!</v>
      </c>
      <c r="BG20" s="3" t="e">
        <f t="shared" si="41"/>
        <v>#DIV/0!</v>
      </c>
      <c r="BH20" s="3" t="e">
        <f t="shared" si="42"/>
        <v>#DIV/0!</v>
      </c>
      <c r="BI20" t="e">
        <f t="shared" si="43"/>
        <v>#DIV/0!</v>
      </c>
      <c r="BJ20" s="8" t="e">
        <f t="shared" si="44"/>
        <v>#DIV/0!</v>
      </c>
      <c r="BK20" s="3" t="e">
        <f t="shared" si="45"/>
        <v>#DIV/0!</v>
      </c>
      <c r="BL20" s="3" t="e">
        <f t="shared" si="46"/>
        <v>#DIV/0!</v>
      </c>
      <c r="BM20" s="3" t="e">
        <f t="shared" si="47"/>
        <v>#DIV/0!</v>
      </c>
      <c r="BN20" s="13">
        <f t="shared" si="21"/>
        <v>0</v>
      </c>
      <c r="BO20" s="13">
        <f t="shared" si="48"/>
        <v>0</v>
      </c>
      <c r="BP20" s="13">
        <f t="shared" si="49"/>
        <v>0</v>
      </c>
      <c r="BQ20" s="10" t="e">
        <f t="shared" si="24"/>
        <v>#DIV/0!</v>
      </c>
      <c r="BR20" s="10" t="e">
        <f t="shared" si="24"/>
        <v>#DIV/0!</v>
      </c>
      <c r="BS20" s="10" t="e">
        <f t="shared" si="24"/>
        <v>#DIV/0!</v>
      </c>
      <c r="BT20" s="10" t="e">
        <f t="shared" si="50"/>
        <v>#DIV/0!</v>
      </c>
      <c r="BU20" s="10" t="e">
        <f t="shared" si="51"/>
        <v>#DIV/0!</v>
      </c>
      <c r="BV20">
        <f t="shared" si="52"/>
        <v>0</v>
      </c>
      <c r="BW20" t="e">
        <f t="shared" si="53"/>
        <v>#DIV/0!</v>
      </c>
      <c r="BX20" t="e">
        <f t="shared" si="54"/>
        <v>#DIV/0!</v>
      </c>
    </row>
    <row r="21" spans="1:76" x14ac:dyDescent="0.2">
      <c r="A21" t="s">
        <v>112</v>
      </c>
      <c r="U21" s="4"/>
      <c r="V21" s="8"/>
      <c r="AI21" s="12">
        <v>1</v>
      </c>
      <c r="AJ21" s="4"/>
      <c r="AK21" s="6"/>
      <c r="AL21" s="6"/>
      <c r="AM21" s="6"/>
      <c r="AQ21" s="3">
        <v>4.7999999999999996E-3</v>
      </c>
      <c r="AR21" s="2"/>
      <c r="AS21" s="2"/>
      <c r="AT21" s="2"/>
      <c r="AU21" s="2"/>
      <c r="AV21" s="2"/>
      <c r="AW21" s="2">
        <f>AQ21+BF21</f>
        <v>9.7999999999999997E-3</v>
      </c>
      <c r="AX21" s="3">
        <v>-1.9599999999999999E-3</v>
      </c>
      <c r="AY21" s="3">
        <v>2.0500000000000002E-3</v>
      </c>
      <c r="AZ21" s="2"/>
      <c r="BA21" s="2"/>
      <c r="BB21" s="3"/>
      <c r="BC21" s="3"/>
      <c r="BD21" s="3"/>
      <c r="BE21" s="3"/>
      <c r="BF21" s="3">
        <v>5.0000000000000001E-3</v>
      </c>
      <c r="BG21" s="3"/>
      <c r="BH21" s="3"/>
      <c r="BJ21" s="8"/>
      <c r="BK21" s="3"/>
      <c r="BL21" s="3"/>
      <c r="BM21" s="3"/>
    </row>
    <row r="22" spans="1:76" x14ac:dyDescent="0.2">
      <c r="A22" t="s">
        <v>65</v>
      </c>
      <c r="V22" s="11">
        <f>V17+V4+V15+V13+V7+V3</f>
        <v>81546.388949999993</v>
      </c>
      <c r="W22" s="11">
        <f>W17+W4+W15+W13+W7+W3</f>
        <v>84570</v>
      </c>
      <c r="X22" s="11">
        <f>SUM(X2:X17)</f>
        <v>326908</v>
      </c>
      <c r="AC22" s="11">
        <f>AC17+AC4+AC15+AC13+AC7+AC3</f>
        <v>483.512</v>
      </c>
      <c r="AD22" s="11"/>
      <c r="AE22" s="11"/>
      <c r="AI22" s="12">
        <v>1</v>
      </c>
      <c r="AJ22" s="11" t="e">
        <f>AJ17+AJ16+AJ15+AJ13+AJ7+AJ3</f>
        <v>#DIV/0!</v>
      </c>
      <c r="AK22">
        <f>X22/W22</f>
        <v>3.8655315123566276</v>
      </c>
      <c r="BJ22" s="11" t="e">
        <f>BJ3+BJ7+BJ13+BJ15+BJ16+BJ17</f>
        <v>#DIV/0!</v>
      </c>
      <c r="BM22" s="3" t="e">
        <f>AC22/BJ22</f>
        <v>#DIV/0!</v>
      </c>
      <c r="BN22" s="3"/>
      <c r="BO22" s="13"/>
      <c r="BP22" s="13"/>
      <c r="BQ22" s="13"/>
      <c r="BR22" s="13"/>
      <c r="BS22" s="13"/>
      <c r="BT22" s="13"/>
      <c r="BU22" s="13"/>
    </row>
    <row r="23" spans="1:76" x14ac:dyDescent="0.2">
      <c r="A23" t="s">
        <v>66</v>
      </c>
      <c r="AC23">
        <f>SUM(AC2:AC17)</f>
        <v>483.512</v>
      </c>
      <c r="AI23" s="12">
        <v>1</v>
      </c>
      <c r="AJ23" s="4" t="e">
        <f>SUM(AJ2:AJ17)</f>
        <v>#DIV/0!</v>
      </c>
      <c r="BJ23" s="11" t="e">
        <f>SUM(BJ2:BJ17)</f>
        <v>#DIV/0!</v>
      </c>
      <c r="BM23" s="3" t="e">
        <f>AC23/BJ23</f>
        <v>#DIV/0!</v>
      </c>
      <c r="BN23" s="3"/>
      <c r="BO23" s="13"/>
      <c r="BP23" s="13"/>
      <c r="BQ23" s="13"/>
      <c r="BR23" s="13"/>
      <c r="BS23" s="13"/>
      <c r="BT23" s="13"/>
      <c r="BU23" s="13"/>
    </row>
    <row r="24" spans="1:76" x14ac:dyDescent="0.2">
      <c r="U24" t="s">
        <v>121</v>
      </c>
      <c r="V24" s="15">
        <f>V22/V25</f>
        <v>0.95625745364025638</v>
      </c>
      <c r="BO24" s="14"/>
      <c r="BP24" s="14"/>
      <c r="BQ24" s="14"/>
      <c r="BR24" s="14"/>
      <c r="BS24" s="14"/>
      <c r="BT24" s="14"/>
      <c r="BU24" s="14"/>
    </row>
    <row r="25" spans="1:76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CB25"/>
  <sheetViews>
    <sheetView workbookViewId="0">
      <pane xSplit="1" ySplit="1" topLeftCell="BM2" activePane="bottomRight" state="frozen"/>
      <selection pane="topRight" activeCell="B1" sqref="B1"/>
      <selection pane="bottomLeft" activeCell="A2" sqref="A2"/>
      <selection pane="bottomRight" activeCell="CB1" sqref="CB1"/>
    </sheetView>
  </sheetViews>
  <sheetFormatPr baseColWidth="10" defaultRowHeight="16" x14ac:dyDescent="0.2"/>
  <cols>
    <col min="1" max="1" width="22" customWidth="1"/>
  </cols>
  <sheetData>
    <row r="1" spans="1:80" x14ac:dyDescent="0.2">
      <c r="A1" t="s">
        <v>145</v>
      </c>
      <c r="B1" t="s">
        <v>23</v>
      </c>
      <c r="C1" t="s">
        <v>24</v>
      </c>
      <c r="D1" t="s">
        <v>25</v>
      </c>
      <c r="E1" t="s">
        <v>53</v>
      </c>
      <c r="F1" t="s">
        <v>54</v>
      </c>
      <c r="G1" t="s">
        <v>55</v>
      </c>
      <c r="H1" t="s">
        <v>67</v>
      </c>
      <c r="I1" t="s">
        <v>68</v>
      </c>
      <c r="J1" t="s">
        <v>107</v>
      </c>
      <c r="K1" t="s">
        <v>108</v>
      </c>
      <c r="L1" t="s">
        <v>109</v>
      </c>
      <c r="M1" t="s">
        <v>84</v>
      </c>
      <c r="N1" t="s">
        <v>110</v>
      </c>
      <c r="O1" t="s">
        <v>69</v>
      </c>
      <c r="P1" t="s">
        <v>70</v>
      </c>
      <c r="Q1" t="s">
        <v>71</v>
      </c>
      <c r="R1" t="s">
        <v>17</v>
      </c>
      <c r="S1" t="s">
        <v>124</v>
      </c>
      <c r="T1" t="s">
        <v>18</v>
      </c>
      <c r="U1" t="s">
        <v>31</v>
      </c>
      <c r="V1" t="s">
        <v>33</v>
      </c>
      <c r="W1" t="s">
        <v>40</v>
      </c>
      <c r="X1" t="s">
        <v>41</v>
      </c>
      <c r="Y1" t="s">
        <v>50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28</v>
      </c>
      <c r="AG1" t="s">
        <v>42</v>
      </c>
      <c r="AH1" t="s">
        <v>45</v>
      </c>
      <c r="AI1" t="s">
        <v>46</v>
      </c>
      <c r="AJ1" t="s">
        <v>64</v>
      </c>
      <c r="AK1" t="s">
        <v>47</v>
      </c>
      <c r="AL1" t="s">
        <v>126</v>
      </c>
      <c r="AM1" t="s">
        <v>125</v>
      </c>
      <c r="AN1" t="s">
        <v>127</v>
      </c>
      <c r="AO1" t="s">
        <v>13</v>
      </c>
      <c r="AP1" t="s">
        <v>14</v>
      </c>
      <c r="AQ1" t="s">
        <v>15</v>
      </c>
      <c r="AR1" t="s">
        <v>19</v>
      </c>
      <c r="AS1" t="s">
        <v>20</v>
      </c>
      <c r="AT1" t="s">
        <v>72</v>
      </c>
      <c r="AU1" t="s">
        <v>73</v>
      </c>
      <c r="AV1" s="1" t="s">
        <v>21</v>
      </c>
      <c r="AW1" s="1" t="s">
        <v>123</v>
      </c>
      <c r="AX1" t="s">
        <v>22</v>
      </c>
      <c r="AY1" t="s">
        <v>56</v>
      </c>
      <c r="AZ1" t="s">
        <v>57</v>
      </c>
      <c r="BA1" t="s">
        <v>58</v>
      </c>
      <c r="BB1" t="s">
        <v>59</v>
      </c>
      <c r="BC1" t="s">
        <v>74</v>
      </c>
      <c r="BD1" t="s">
        <v>75</v>
      </c>
      <c r="BE1" t="s">
        <v>76</v>
      </c>
      <c r="BF1" t="s">
        <v>85</v>
      </c>
      <c r="BG1" t="s">
        <v>111</v>
      </c>
      <c r="BH1" t="s">
        <v>26</v>
      </c>
      <c r="BI1" t="s">
        <v>32</v>
      </c>
      <c r="BJ1" t="s">
        <v>29</v>
      </c>
      <c r="BK1" t="s">
        <v>51</v>
      </c>
      <c r="BL1" t="s">
        <v>49</v>
      </c>
      <c r="BM1" t="s">
        <v>48</v>
      </c>
      <c r="BN1" t="s">
        <v>52</v>
      </c>
      <c r="BO1" t="s">
        <v>117</v>
      </c>
      <c r="BP1" t="s">
        <v>114</v>
      </c>
      <c r="BQ1" t="s">
        <v>28</v>
      </c>
      <c r="BR1" t="s">
        <v>118</v>
      </c>
      <c r="BS1" t="s">
        <v>115</v>
      </c>
      <c r="BT1" t="s">
        <v>116</v>
      </c>
      <c r="BU1" t="s">
        <v>119</v>
      </c>
      <c r="BV1" t="s">
        <v>120</v>
      </c>
      <c r="BW1" t="s">
        <v>113</v>
      </c>
      <c r="BX1" t="s">
        <v>30</v>
      </c>
      <c r="BY1" t="s">
        <v>34</v>
      </c>
      <c r="BZ1" t="s">
        <v>155</v>
      </c>
      <c r="CA1" t="s">
        <v>159</v>
      </c>
      <c r="CB1" t="s">
        <v>160</v>
      </c>
    </row>
    <row r="2" spans="1:80" x14ac:dyDescent="0.2">
      <c r="A2" t="s">
        <v>146</v>
      </c>
      <c r="B2">
        <v>13.397303264733001</v>
      </c>
      <c r="C2">
        <v>77.9929787826363</v>
      </c>
      <c r="D2">
        <v>5.5457303379728096</v>
      </c>
      <c r="E2">
        <v>96.936012385342096</v>
      </c>
      <c r="F2">
        <v>89.9816079410474</v>
      </c>
      <c r="G2">
        <v>105.98759952345701</v>
      </c>
      <c r="H2">
        <v>71.318081906987501</v>
      </c>
      <c r="I2">
        <v>86.833317840323204</v>
      </c>
      <c r="J2">
        <v>73.703079625235503</v>
      </c>
      <c r="K2">
        <v>67.563548389311805</v>
      </c>
      <c r="L2">
        <v>83.864756892883193</v>
      </c>
      <c r="M2">
        <v>6.2816795379571602</v>
      </c>
      <c r="N2">
        <v>7.4248657538986702</v>
      </c>
      <c r="O2">
        <v>184.345637302433</v>
      </c>
      <c r="P2">
        <v>173.22334259246799</v>
      </c>
      <c r="Q2">
        <v>198.57913703234101</v>
      </c>
      <c r="R2">
        <v>1000</v>
      </c>
      <c r="S2" s="10">
        <v>6.3205386306648903E-2</v>
      </c>
      <c r="T2" s="6">
        <v>7.0962342611128504</v>
      </c>
      <c r="U2" s="6">
        <v>17.382000000000001</v>
      </c>
      <c r="V2" s="4">
        <v>1952.04513368984</v>
      </c>
      <c r="W2" s="8">
        <v>21637</v>
      </c>
      <c r="X2" s="8">
        <v>81564</v>
      </c>
      <c r="Y2" s="9">
        <v>1.2</v>
      </c>
      <c r="Z2" s="8">
        <v>1083</v>
      </c>
      <c r="AA2" s="8">
        <v>1082.3610000000001</v>
      </c>
      <c r="AB2" s="8">
        <v>537</v>
      </c>
      <c r="AC2">
        <v>258.75599999999997</v>
      </c>
      <c r="AD2">
        <v>902</v>
      </c>
      <c r="AE2">
        <v>415</v>
      </c>
      <c r="AF2">
        <v>20.822169018631602</v>
      </c>
      <c r="AG2" t="s">
        <v>43</v>
      </c>
      <c r="AH2" t="s">
        <v>43</v>
      </c>
      <c r="AI2" s="12" t="s">
        <v>162</v>
      </c>
      <c r="AJ2" s="4">
        <v>67970</v>
      </c>
      <c r="AK2" s="6">
        <v>3.76982806433722</v>
      </c>
      <c r="AL2" s="12">
        <v>0.51503794724005403</v>
      </c>
      <c r="AM2" s="2">
        <v>3.2553172417891102E-2</v>
      </c>
      <c r="AN2">
        <v>1.9987298111982799E-3</v>
      </c>
      <c r="AO2">
        <v>0.113534368605307</v>
      </c>
      <c r="AP2">
        <v>0.88586171469428598</v>
      </c>
      <c r="AQ2" s="3">
        <v>6.03916700407009E-4</v>
      </c>
      <c r="AR2" s="3">
        <v>6.8632138845113703E-3</v>
      </c>
      <c r="AS2" s="2">
        <v>3.9954495639765601E-2</v>
      </c>
      <c r="AT2" s="2">
        <v>3.33152998350442E-2</v>
      </c>
      <c r="AU2" s="2">
        <v>4.8747551634118202E-2</v>
      </c>
      <c r="AV2" s="2">
        <v>2.8409846894728499E-3</v>
      </c>
      <c r="AW2" s="2">
        <v>4.9658694213749799E-2</v>
      </c>
      <c r="AX2" s="3">
        <v>9.4437179817648598E-2</v>
      </c>
      <c r="AY2" s="3">
        <v>-5.6977651377051897E-3</v>
      </c>
      <c r="AZ2" s="2">
        <v>7.2915833165201503E-3</v>
      </c>
      <c r="BA2" s="2">
        <v>8.8739414679943396E-2</v>
      </c>
      <c r="BB2" s="3">
        <v>0.101728763134169</v>
      </c>
      <c r="BC2" s="3">
        <v>3.7756852212693801E-2</v>
      </c>
      <c r="BD2" s="3">
        <v>3.4611673277041698E-2</v>
      </c>
      <c r="BE2" s="3">
        <v>4.2962509137459602E-2</v>
      </c>
      <c r="BF2" s="3">
        <v>2.6089464319682199E-3</v>
      </c>
      <c r="BG2" s="3">
        <v>3.8036342632426102E-3</v>
      </c>
      <c r="BH2" s="3">
        <v>1.5933500073561899E-2</v>
      </c>
      <c r="BI2">
        <v>1.59240988671473E-2</v>
      </c>
      <c r="BJ2" s="8">
        <v>0.62971522111494105</v>
      </c>
      <c r="BK2" s="13">
        <v>18030</v>
      </c>
      <c r="BL2" s="3">
        <v>2.9783693843594E-2</v>
      </c>
      <c r="BM2" s="3">
        <v>1.1958959190275901E-2</v>
      </c>
      <c r="BN2" s="13">
        <v>1.43514143094842E-2</v>
      </c>
      <c r="BO2" s="13">
        <v>151.69605840787199</v>
      </c>
      <c r="BP2" s="13">
        <v>157.97773794582901</v>
      </c>
      <c r="BQ2" s="10">
        <v>20.822169018631602</v>
      </c>
      <c r="BR2" s="10">
        <v>0.82288830214293995</v>
      </c>
      <c r="BS2" s="10">
        <v>0.856964055310108</v>
      </c>
      <c r="BT2" s="10">
        <v>0.112952598331855</v>
      </c>
      <c r="BU2" s="10">
        <v>0.47416214527686001</v>
      </c>
      <c r="BV2">
        <v>0.39980926892017399</v>
      </c>
      <c r="BW2">
        <v>96.936012385342096</v>
      </c>
      <c r="BX2">
        <v>4.5562777913912598</v>
      </c>
      <c r="BY2">
        <v>0.108266507692171</v>
      </c>
      <c r="BZ2">
        <v>1.24781772796976E-2</v>
      </c>
      <c r="CA2">
        <v>0.9</v>
      </c>
      <c r="CB2">
        <v>17.326203208556102</v>
      </c>
    </row>
    <row r="3" spans="1:80" x14ac:dyDescent="0.2">
      <c r="A3" t="s">
        <v>129</v>
      </c>
      <c r="B3">
        <v>45.276873572667597</v>
      </c>
      <c r="C3">
        <v>236.58087991501799</v>
      </c>
      <c r="D3">
        <v>0</v>
      </c>
      <c r="E3">
        <v>281.85775348768601</v>
      </c>
      <c r="F3">
        <v>272.23348651520803</v>
      </c>
      <c r="G3">
        <v>291.80829479877701</v>
      </c>
      <c r="H3">
        <v>227.042408541437</v>
      </c>
      <c r="I3">
        <v>246.45120083331599</v>
      </c>
      <c r="J3">
        <v>212.750164772234</v>
      </c>
      <c r="K3">
        <v>199.80771216143</v>
      </c>
      <c r="L3">
        <v>227.11516916933701</v>
      </c>
      <c r="M3">
        <v>0</v>
      </c>
      <c r="N3">
        <v>38.281726508560197</v>
      </c>
      <c r="O3">
        <v>532.88964476848105</v>
      </c>
      <c r="P3">
        <v>510.21736065940598</v>
      </c>
      <c r="Q3">
        <v>557.70439519311003</v>
      </c>
      <c r="R3">
        <v>1000</v>
      </c>
      <c r="S3" s="10">
        <v>3.3340288824421999E-2</v>
      </c>
      <c r="T3" s="6">
        <v>15.0295249</v>
      </c>
      <c r="U3" s="6">
        <v>50.457999999999998</v>
      </c>
      <c r="V3" s="4">
        <v>10526.8147291444</v>
      </c>
      <c r="W3" s="8">
        <v>84570</v>
      </c>
      <c r="X3" s="8">
        <v>326908</v>
      </c>
      <c r="Y3" s="9">
        <v>1.82507693639206</v>
      </c>
      <c r="Z3" s="8">
        <v>1749</v>
      </c>
      <c r="AA3" s="8">
        <v>1663.8589999999999</v>
      </c>
      <c r="AB3" s="8">
        <v>1054</v>
      </c>
      <c r="AC3">
        <v>483.30399999999997</v>
      </c>
      <c r="AD3">
        <v>1272</v>
      </c>
      <c r="AE3">
        <v>679</v>
      </c>
      <c r="AF3">
        <v>83.558600081227794</v>
      </c>
      <c r="AG3" t="s">
        <v>43</v>
      </c>
      <c r="AH3" t="s">
        <v>43</v>
      </c>
      <c r="AI3" s="12" t="s">
        <v>162</v>
      </c>
      <c r="AJ3" s="4">
        <v>179120</v>
      </c>
      <c r="AK3" s="6">
        <v>3.8655933703088201</v>
      </c>
      <c r="AL3" s="12">
        <v>0.50861822288460201</v>
      </c>
      <c r="AM3" s="2">
        <v>1.6957478452336801E-2</v>
      </c>
      <c r="AN3">
        <v>1.0543125053303101E-3</v>
      </c>
      <c r="AO3">
        <v>0.100344013837707</v>
      </c>
      <c r="AP3">
        <v>0.89965598616229203</v>
      </c>
      <c r="AQ3" s="3">
        <v>0</v>
      </c>
      <c r="AR3" s="3">
        <v>4.3010991204504301E-3</v>
      </c>
      <c r="AS3" s="2">
        <v>2.2474118335152601E-2</v>
      </c>
      <c r="AT3" s="2">
        <v>2.0692601687335499E-2</v>
      </c>
      <c r="AU3" s="2">
        <v>2.4317615091241501E-2</v>
      </c>
      <c r="AV3" s="2">
        <v>0</v>
      </c>
      <c r="AW3" s="2">
        <v>2.6775217455603E-2</v>
      </c>
      <c r="AX3" s="3">
        <v>5.0622116801688398E-2</v>
      </c>
      <c r="AY3" s="3">
        <v>-2.15376490348064E-3</v>
      </c>
      <c r="AZ3" s="2">
        <v>2.35728955653869E-3</v>
      </c>
      <c r="BA3" s="2">
        <v>4.8468351898207702E-2</v>
      </c>
      <c r="BB3" s="3">
        <v>5.2979406358227003E-2</v>
      </c>
      <c r="BC3" s="3">
        <v>2.0210307699556802E-2</v>
      </c>
      <c r="BD3" s="3">
        <v>1.8980832977732998E-2</v>
      </c>
      <c r="BE3" s="3">
        <v>2.1574918435730499E-2</v>
      </c>
      <c r="BF3" s="3">
        <v>0</v>
      </c>
      <c r="BG3" s="3">
        <v>3.6365916465285501E-3</v>
      </c>
      <c r="BH3" s="3">
        <v>9.7644037516748591E-3</v>
      </c>
      <c r="BI3">
        <v>9.2890743635551595E-3</v>
      </c>
      <c r="BJ3" s="8">
        <v>0.82749494641633003</v>
      </c>
      <c r="BK3" s="13">
        <v>46337</v>
      </c>
      <c r="BL3" s="3">
        <v>2.2746401363920799E-2</v>
      </c>
      <c r="BM3" s="3">
        <v>5.7148397776989497E-3</v>
      </c>
      <c r="BN3" s="13">
        <v>1.0430196171525999E-2</v>
      </c>
      <c r="BO3" s="13">
        <v>449.33104468725298</v>
      </c>
      <c r="BP3" s="13">
        <v>449.33104468725298</v>
      </c>
      <c r="BQ3" s="10">
        <v>83.558600081227794</v>
      </c>
      <c r="BR3" s="10">
        <v>0.84319683668350398</v>
      </c>
      <c r="BS3" s="10">
        <v>0.84319683668350398</v>
      </c>
      <c r="BT3" s="10">
        <v>0.15680316331649599</v>
      </c>
      <c r="BU3" s="10">
        <v>0.47107658511384698</v>
      </c>
      <c r="BV3">
        <v>0.39923844569065298</v>
      </c>
      <c r="BW3">
        <v>281.85775348768601</v>
      </c>
      <c r="BX3">
        <v>5.1513268574889404</v>
      </c>
      <c r="BY3">
        <v>0.227179461966558</v>
      </c>
      <c r="BZ3">
        <v>1.14918517480515E-2</v>
      </c>
      <c r="CA3">
        <v>0.9</v>
      </c>
      <c r="CB3">
        <v>17.326203208556102</v>
      </c>
    </row>
    <row r="4" spans="1:80" x14ac:dyDescent="0.2">
      <c r="A4" t="s">
        <v>130</v>
      </c>
      <c r="B4">
        <v>9.2140909272311902</v>
      </c>
      <c r="C4">
        <v>35.408917545947098</v>
      </c>
      <c r="D4">
        <v>0</v>
      </c>
      <c r="E4">
        <v>44.623008473178302</v>
      </c>
      <c r="F4">
        <v>41.395436637419202</v>
      </c>
      <c r="G4">
        <v>48.260753580143799</v>
      </c>
      <c r="H4">
        <v>32.216161165674698</v>
      </c>
      <c r="I4">
        <v>39.0326736109024</v>
      </c>
      <c r="J4">
        <v>60.186546038079101</v>
      </c>
      <c r="K4">
        <v>53.6389779617339</v>
      </c>
      <c r="L4">
        <v>67.577080826218307</v>
      </c>
      <c r="M4">
        <v>0</v>
      </c>
      <c r="N4">
        <v>16.3695421682262</v>
      </c>
      <c r="O4">
        <v>121.179096679484</v>
      </c>
      <c r="P4">
        <v>110.98112421837401</v>
      </c>
      <c r="Q4">
        <v>132.40838447169199</v>
      </c>
      <c r="R4">
        <v>1000</v>
      </c>
      <c r="S4" s="10">
        <v>5.6972720163228602E-2</v>
      </c>
      <c r="T4" s="6">
        <v>8.0919112099999992</v>
      </c>
      <c r="U4" s="6">
        <v>53.018999999999998</v>
      </c>
      <c r="V4" s="4">
        <v>4766.5263912834198</v>
      </c>
      <c r="W4" s="8">
        <v>17120</v>
      </c>
      <c r="X4" s="8">
        <v>48890</v>
      </c>
      <c r="Y4" s="9">
        <v>1.82507693639206</v>
      </c>
      <c r="Z4" s="8">
        <v>284</v>
      </c>
      <c r="AA4" s="8">
        <v>264.62599999999998</v>
      </c>
      <c r="AB4" s="8">
        <v>239</v>
      </c>
      <c r="AC4">
        <v>101.20699999999999</v>
      </c>
      <c r="AD4">
        <v>316</v>
      </c>
      <c r="AE4">
        <v>233</v>
      </c>
      <c r="AF4">
        <v>25.583633095457401</v>
      </c>
      <c r="AG4" t="s">
        <v>43</v>
      </c>
      <c r="AH4" t="s">
        <v>43</v>
      </c>
      <c r="AI4" s="12" t="s">
        <v>162</v>
      </c>
      <c r="AJ4" s="4">
        <v>26787</v>
      </c>
      <c r="AK4" s="6">
        <v>2.85575692963753</v>
      </c>
      <c r="AL4" s="12">
        <v>0.59175151754216704</v>
      </c>
      <c r="AM4" s="2">
        <v>3.3713693615095797E-2</v>
      </c>
      <c r="AN4">
        <v>1.80163560211202E-3</v>
      </c>
      <c r="AO4">
        <v>0.11566120349912801</v>
      </c>
      <c r="AP4">
        <v>0.88433879650087099</v>
      </c>
      <c r="AQ4" s="3">
        <v>0</v>
      </c>
      <c r="AR4" s="3">
        <v>1.9330829561923901E-3</v>
      </c>
      <c r="AS4" s="2">
        <v>7.4286628540858697E-3</v>
      </c>
      <c r="AT4" s="2">
        <v>6.29672026845789E-3</v>
      </c>
      <c r="AU4" s="2">
        <v>8.7134097377489592E-3</v>
      </c>
      <c r="AV4" s="2">
        <v>0</v>
      </c>
      <c r="AW4" s="2">
        <v>9.3617458102782606E-3</v>
      </c>
      <c r="AX4" s="3">
        <v>2.5422936270967599E-2</v>
      </c>
      <c r="AY4" s="3">
        <v>-2.1394977440507799E-3</v>
      </c>
      <c r="AZ4" s="2">
        <v>2.3558639710342102E-3</v>
      </c>
      <c r="BA4" s="2">
        <v>2.3283438526916798E-2</v>
      </c>
      <c r="BB4" s="3">
        <v>2.77788002420018E-2</v>
      </c>
      <c r="BC4" s="3">
        <v>1.2626919709947001E-2</v>
      </c>
      <c r="BD4" s="3">
        <v>1.1253263605090699E-2</v>
      </c>
      <c r="BE4" s="3">
        <v>1.41774271825699E-2</v>
      </c>
      <c r="BF4" s="3">
        <v>0</v>
      </c>
      <c r="BG4" s="3">
        <v>3.4342707507423499E-3</v>
      </c>
      <c r="BH4" s="3">
        <v>1.0602157763094E-2</v>
      </c>
      <c r="BI4">
        <v>9.8788964796356505E-3</v>
      </c>
      <c r="BJ4" s="8">
        <v>0.833847165831757</v>
      </c>
      <c r="BK4" s="13">
        <v>9380</v>
      </c>
      <c r="BL4" s="3">
        <v>2.5479744136460598E-2</v>
      </c>
      <c r="BM4" s="3">
        <v>5.9116238317756999E-3</v>
      </c>
      <c r="BN4" s="13">
        <v>1.07896588486141E-2</v>
      </c>
      <c r="BO4" s="13">
        <v>95.595463584026206</v>
      </c>
      <c r="BP4" s="13">
        <v>95.595463584026206</v>
      </c>
      <c r="BQ4" s="10">
        <v>25.583633095457401</v>
      </c>
      <c r="BR4" s="10">
        <v>0.7888766063389</v>
      </c>
      <c r="BS4" s="10">
        <v>0.7888766063389</v>
      </c>
      <c r="BT4" s="10">
        <v>0.211123393661101</v>
      </c>
      <c r="BU4" s="10">
        <v>0.63175927848769298</v>
      </c>
      <c r="BV4">
        <v>0.49667295777826498</v>
      </c>
      <c r="BW4">
        <v>44.623008473178302</v>
      </c>
      <c r="BX4">
        <v>4.0383041696618296</v>
      </c>
      <c r="BY4">
        <v>0.50815846388949104</v>
      </c>
      <c r="BZ4">
        <v>1.06611193281389E-2</v>
      </c>
      <c r="CA4">
        <v>0.9</v>
      </c>
      <c r="CB4">
        <v>17.326203208556102</v>
      </c>
    </row>
    <row r="5" spans="1:80" x14ac:dyDescent="0.2">
      <c r="A5" t="s">
        <v>131</v>
      </c>
      <c r="B5">
        <v>10.4306142680514</v>
      </c>
      <c r="C5">
        <v>35.8233267566115</v>
      </c>
      <c r="D5">
        <v>0</v>
      </c>
      <c r="E5">
        <v>46.253941024663</v>
      </c>
      <c r="F5">
        <v>42.688807473276199</v>
      </c>
      <c r="G5">
        <v>50.222046197981797</v>
      </c>
      <c r="H5">
        <v>32.2754959705698</v>
      </c>
      <c r="I5">
        <v>39.726874492943601</v>
      </c>
      <c r="J5">
        <v>43.989762287346899</v>
      </c>
      <c r="K5">
        <v>39.118024315418303</v>
      </c>
      <c r="L5">
        <v>49.436107920184</v>
      </c>
      <c r="M5">
        <v>0</v>
      </c>
      <c r="N5">
        <v>21.388091567027899</v>
      </c>
      <c r="O5">
        <v>111.631794879038</v>
      </c>
      <c r="P5">
        <v>101.489862447308</v>
      </c>
      <c r="Q5">
        <v>122.157376228865</v>
      </c>
      <c r="R5">
        <v>1000</v>
      </c>
      <c r="S5" s="10">
        <v>6.6405672256115003E-2</v>
      </c>
      <c r="T5" s="6">
        <v>23.348039</v>
      </c>
      <c r="U5" s="6">
        <v>47.029000000000003</v>
      </c>
      <c r="V5" s="4">
        <v>6227.8408195989296</v>
      </c>
      <c r="W5" s="8">
        <v>19670</v>
      </c>
      <c r="X5" s="8">
        <v>94306</v>
      </c>
      <c r="Y5" s="9">
        <v>1.82507693639206</v>
      </c>
      <c r="Z5" s="8">
        <v>334</v>
      </c>
      <c r="AA5" s="8">
        <v>304.767</v>
      </c>
      <c r="AB5" s="8">
        <v>232</v>
      </c>
      <c r="AC5">
        <v>92.828000000000003</v>
      </c>
      <c r="AD5">
        <v>368</v>
      </c>
      <c r="AE5">
        <v>179</v>
      </c>
      <c r="AF5">
        <v>31.8187058350793</v>
      </c>
      <c r="AG5" t="s">
        <v>43</v>
      </c>
      <c r="AH5" t="s">
        <v>43</v>
      </c>
      <c r="AI5" s="12" t="s">
        <v>162</v>
      </c>
      <c r="AJ5" s="4">
        <v>51672</v>
      </c>
      <c r="AK5" s="6">
        <v>4.7946552844019701</v>
      </c>
      <c r="AL5" s="12">
        <v>0.45668979343236699</v>
      </c>
      <c r="AM5" s="2">
        <v>3.0326792745382601E-2</v>
      </c>
      <c r="AN5">
        <v>2.09993173883976E-3</v>
      </c>
      <c r="AO5">
        <v>0.18476967959739299</v>
      </c>
      <c r="AP5">
        <v>0.81523032040260601</v>
      </c>
      <c r="AQ5" s="3">
        <v>0</v>
      </c>
      <c r="AR5" s="3">
        <v>1.6748363630660599E-3</v>
      </c>
      <c r="AS5" s="2">
        <v>5.7521262656354396E-3</v>
      </c>
      <c r="AT5" s="2">
        <v>4.5047310080278298E-3</v>
      </c>
      <c r="AU5" s="2">
        <v>7.1245893924854597E-3</v>
      </c>
      <c r="AV5" s="2">
        <v>0</v>
      </c>
      <c r="AW5" s="2">
        <v>7.4269626287015002E-3</v>
      </c>
      <c r="AX5" s="3">
        <v>1.79246384280944E-2</v>
      </c>
      <c r="AY5" s="3">
        <v>-1.6284829245816401E-3</v>
      </c>
      <c r="AZ5" s="2">
        <v>1.6900851602859E-3</v>
      </c>
      <c r="BA5" s="2">
        <v>1.62961555035127E-2</v>
      </c>
      <c r="BB5" s="3">
        <v>1.96147235883803E-2</v>
      </c>
      <c r="BC5" s="3">
        <v>7.0634050486505203E-3</v>
      </c>
      <c r="BD5" s="3">
        <v>6.2811535247198997E-3</v>
      </c>
      <c r="BE5" s="3">
        <v>7.9379209186929197E-3</v>
      </c>
      <c r="BF5" s="3">
        <v>0</v>
      </c>
      <c r="BG5" s="3">
        <v>3.4342707507423499E-3</v>
      </c>
      <c r="BH5" s="3">
        <v>6.4638488930174997E-3</v>
      </c>
      <c r="BI5">
        <v>5.8981072921504901E-3</v>
      </c>
      <c r="BJ5" s="8">
        <v>0.818663282985302</v>
      </c>
      <c r="BK5" s="13">
        <v>10777</v>
      </c>
      <c r="BL5" s="3">
        <v>2.1527326714299001E-2</v>
      </c>
      <c r="BM5" s="3">
        <v>4.7192679206914103E-3</v>
      </c>
      <c r="BN5" s="13">
        <v>8.6135288113575199E-3</v>
      </c>
      <c r="BO5" s="13">
        <v>79.813089043958399</v>
      </c>
      <c r="BP5" s="13">
        <v>79.813089043958399</v>
      </c>
      <c r="BQ5" s="10">
        <v>31.8187058350793</v>
      </c>
      <c r="BR5" s="10">
        <v>0.71496652177662701</v>
      </c>
      <c r="BS5" s="10">
        <v>0.71496652177662701</v>
      </c>
      <c r="BT5" s="10">
        <v>0.28503347822337299</v>
      </c>
      <c r="BU5" s="10">
        <v>0.585657577608374</v>
      </c>
      <c r="BV5">
        <v>0.39406173206658901</v>
      </c>
      <c r="BW5">
        <v>46.253941024663</v>
      </c>
      <c r="BX5">
        <v>3.6303780445921201</v>
      </c>
      <c r="BY5">
        <v>0.57788260365583499</v>
      </c>
      <c r="BZ5">
        <v>1.06611193281389E-2</v>
      </c>
      <c r="CA5">
        <v>0.9</v>
      </c>
      <c r="CB5">
        <v>17.326203208556102</v>
      </c>
    </row>
    <row r="6" spans="1:80" x14ac:dyDescent="0.2">
      <c r="A6" t="s">
        <v>132</v>
      </c>
      <c r="B6">
        <v>10.057128901282301</v>
      </c>
      <c r="C6">
        <v>37.510733497248403</v>
      </c>
      <c r="D6">
        <v>0</v>
      </c>
      <c r="E6">
        <v>47.567862398530799</v>
      </c>
      <c r="F6">
        <v>44.454204474261402</v>
      </c>
      <c r="G6">
        <v>51.033227569089398</v>
      </c>
      <c r="H6">
        <v>34.384229489987298</v>
      </c>
      <c r="I6">
        <v>40.928942188970602</v>
      </c>
      <c r="J6">
        <v>45.120081918076501</v>
      </c>
      <c r="K6">
        <v>41.234844842240797</v>
      </c>
      <c r="L6">
        <v>49.216600047070003</v>
      </c>
      <c r="M6">
        <v>0</v>
      </c>
      <c r="N6">
        <v>20.4353866558872</v>
      </c>
      <c r="O6">
        <v>113.123330972495</v>
      </c>
      <c r="P6">
        <v>104.372531112415</v>
      </c>
      <c r="Q6">
        <v>122.263341985024</v>
      </c>
      <c r="R6">
        <v>1000</v>
      </c>
      <c r="S6" s="10">
        <v>5.2740761312655801E-2</v>
      </c>
      <c r="T6" s="6">
        <v>11.8134085</v>
      </c>
      <c r="U6" s="6">
        <v>45.98</v>
      </c>
      <c r="V6" s="4">
        <v>5950.4296949999998</v>
      </c>
      <c r="W6" s="8">
        <v>19040</v>
      </c>
      <c r="X6" s="8">
        <v>91907</v>
      </c>
      <c r="Y6" s="9">
        <v>1.82507693639206</v>
      </c>
      <c r="Z6" s="8">
        <v>416</v>
      </c>
      <c r="AA6" s="8">
        <v>386.99799999999999</v>
      </c>
      <c r="AB6" s="8">
        <v>296</v>
      </c>
      <c r="AC6">
        <v>124.65300000000001</v>
      </c>
      <c r="AD6">
        <v>477</v>
      </c>
      <c r="AE6">
        <v>232</v>
      </c>
      <c r="AF6">
        <v>30.4925155571696</v>
      </c>
      <c r="AG6" t="s">
        <v>43</v>
      </c>
      <c r="AH6" t="s">
        <v>43</v>
      </c>
      <c r="AI6" s="12" t="s">
        <v>162</v>
      </c>
      <c r="AJ6" s="4">
        <v>50357</v>
      </c>
      <c r="AK6" s="6">
        <v>4.82716641104295</v>
      </c>
      <c r="AL6" s="12">
        <v>0.45514928471695798</v>
      </c>
      <c r="AM6" s="2">
        <v>2.40049197868831E-2</v>
      </c>
      <c r="AN6">
        <v>1.6678093127928399E-3</v>
      </c>
      <c r="AO6">
        <v>0.19185242940805</v>
      </c>
      <c r="AP6">
        <v>0.80814757059195097</v>
      </c>
      <c r="AQ6" s="3">
        <v>0</v>
      </c>
      <c r="AR6" s="3">
        <v>1.6901517061420101E-3</v>
      </c>
      <c r="AS6" s="2">
        <v>6.3038697068831502E-3</v>
      </c>
      <c r="AT6" s="2">
        <v>5.14946843447642E-3</v>
      </c>
      <c r="AU6" s="2">
        <v>7.5659773049899896E-3</v>
      </c>
      <c r="AV6" s="2">
        <v>0</v>
      </c>
      <c r="AW6" s="2">
        <v>7.9940214130251597E-3</v>
      </c>
      <c r="AX6" s="3">
        <v>1.9010951606999001E-2</v>
      </c>
      <c r="AY6" s="3">
        <v>-1.4706164610989599E-3</v>
      </c>
      <c r="AZ6" s="2">
        <v>1.5360253764883499E-3</v>
      </c>
      <c r="BA6" s="2">
        <v>1.7540335145900001E-2</v>
      </c>
      <c r="BB6" s="3">
        <v>2.05469769834873E-2</v>
      </c>
      <c r="BC6" s="3">
        <v>7.5826594432314397E-3</v>
      </c>
      <c r="BD6" s="3">
        <v>6.9297255754301899E-3</v>
      </c>
      <c r="BE6" s="3">
        <v>8.2711001675098306E-3</v>
      </c>
      <c r="BF6" s="3">
        <v>0</v>
      </c>
      <c r="BG6" s="3">
        <v>3.4342707507423499E-3</v>
      </c>
      <c r="BH6" s="3">
        <v>8.2610163433087802E-3</v>
      </c>
      <c r="BI6">
        <v>7.6850884683360796E-3</v>
      </c>
      <c r="BJ6" s="8">
        <v>0.81684498448897602</v>
      </c>
      <c r="BK6" s="13">
        <v>10432</v>
      </c>
      <c r="BL6" s="3">
        <v>2.83742331288344E-2</v>
      </c>
      <c r="BM6" s="3">
        <v>6.5469012605041997E-3</v>
      </c>
      <c r="BN6" s="13">
        <v>1.1949098926380399E-2</v>
      </c>
      <c r="BO6" s="13">
        <v>82.630815415324903</v>
      </c>
      <c r="BP6" s="13">
        <v>82.630815415324903</v>
      </c>
      <c r="BQ6" s="10">
        <v>30.4925155571696</v>
      </c>
      <c r="BR6" s="10">
        <v>0.73044783203086305</v>
      </c>
      <c r="BS6" s="10">
        <v>0.73044783203086305</v>
      </c>
      <c r="BT6" s="10">
        <v>0.269552167969137</v>
      </c>
      <c r="BU6" s="10">
        <v>0.57950493609122899</v>
      </c>
      <c r="BV6">
        <v>0.39885710041472</v>
      </c>
      <c r="BW6">
        <v>47.567862398530799</v>
      </c>
      <c r="BX6">
        <v>3.8634859391504301</v>
      </c>
      <c r="BY6">
        <v>0.57040161953604296</v>
      </c>
      <c r="BZ6">
        <v>1.06611193281389E-2</v>
      </c>
      <c r="CA6">
        <v>0.9</v>
      </c>
      <c r="CB6">
        <v>17.326203208556102</v>
      </c>
    </row>
    <row r="7" spans="1:80" x14ac:dyDescent="0.2">
      <c r="A7" t="s">
        <v>133</v>
      </c>
      <c r="B7">
        <v>1.9933481222520799</v>
      </c>
      <c r="C7">
        <v>2.3946754836043098</v>
      </c>
      <c r="D7">
        <v>0</v>
      </c>
      <c r="E7">
        <v>4.3880236058563904</v>
      </c>
      <c r="F7">
        <v>3.6031737939974802</v>
      </c>
      <c r="G7">
        <v>5.2319430701625302</v>
      </c>
      <c r="H7">
        <v>1.6200701801724</v>
      </c>
      <c r="I7">
        <v>3.251566113385</v>
      </c>
      <c r="J7">
        <v>4.7652008011550899</v>
      </c>
      <c r="K7">
        <v>3.6741666074063501</v>
      </c>
      <c r="L7">
        <v>6.1457933015076103</v>
      </c>
      <c r="M7">
        <v>0</v>
      </c>
      <c r="N7">
        <v>1.1897865990230101</v>
      </c>
      <c r="O7">
        <v>10.3430110060345</v>
      </c>
      <c r="P7">
        <v>8.7701514036826307</v>
      </c>
      <c r="Q7">
        <v>12.23406690867</v>
      </c>
      <c r="R7">
        <v>1000</v>
      </c>
      <c r="S7" s="10">
        <v>0.10719444314578799</v>
      </c>
      <c r="T7" s="6">
        <v>9</v>
      </c>
      <c r="U7" s="6">
        <v>41.088999999999999</v>
      </c>
      <c r="V7" s="4">
        <v>264.97395591978602</v>
      </c>
      <c r="W7" s="8">
        <v>41547</v>
      </c>
      <c r="X7" s="8">
        <v>81234</v>
      </c>
      <c r="Y7" s="9">
        <v>1.7471737405793999</v>
      </c>
      <c r="Z7" s="8">
        <v>77</v>
      </c>
      <c r="AA7" s="8">
        <v>69.001000000000005</v>
      </c>
      <c r="AB7" s="8">
        <v>40</v>
      </c>
      <c r="AC7">
        <v>15.051</v>
      </c>
      <c r="AD7">
        <v>48</v>
      </c>
      <c r="AE7">
        <v>36</v>
      </c>
      <c r="AF7">
        <v>3.1831347212750898</v>
      </c>
      <c r="AG7" t="s">
        <v>43</v>
      </c>
      <c r="AH7" t="s">
        <v>43</v>
      </c>
      <c r="AI7" s="12" t="s">
        <v>162</v>
      </c>
      <c r="AJ7" s="4">
        <v>46494</v>
      </c>
      <c r="AK7" s="6">
        <v>1.9552546364439201</v>
      </c>
      <c r="AL7" s="12">
        <v>0.71515196751850496</v>
      </c>
      <c r="AM7" s="2">
        <v>7.6660316922760902E-2</v>
      </c>
      <c r="AN7">
        <v>3.38978592854115E-3</v>
      </c>
      <c r="AO7">
        <v>0</v>
      </c>
      <c r="AP7">
        <v>1</v>
      </c>
      <c r="AQ7" s="3">
        <v>0</v>
      </c>
      <c r="AR7" s="3">
        <v>7.5228077239995498E-3</v>
      </c>
      <c r="AS7" s="2">
        <v>9.0373994504170593E-3</v>
      </c>
      <c r="AT7" s="2">
        <v>4.9497001685501699E-3</v>
      </c>
      <c r="AU7" s="2">
        <v>1.3559329776060501E-2</v>
      </c>
      <c r="AV7" s="2">
        <v>0</v>
      </c>
      <c r="AW7" s="2">
        <v>1.65602071744166E-2</v>
      </c>
      <c r="AX7" s="3">
        <v>3.9034066461858502E-2</v>
      </c>
      <c r="AY7" s="3">
        <v>-5.9359026319854404E-3</v>
      </c>
      <c r="AZ7" s="2">
        <v>7.1367614076305198E-3</v>
      </c>
      <c r="BA7" s="2">
        <v>3.3098163829872997E-2</v>
      </c>
      <c r="BB7" s="3">
        <v>4.6170827869488999E-2</v>
      </c>
      <c r="BC7" s="3">
        <v>1.7983657241384201E-2</v>
      </c>
      <c r="BD7" s="3">
        <v>1.3866142408798099E-2</v>
      </c>
      <c r="BE7" s="3">
        <v>2.3193952327028301E-2</v>
      </c>
      <c r="BF7" s="3">
        <v>0</v>
      </c>
      <c r="BG7" s="3">
        <v>4.4902020460576304E-3</v>
      </c>
      <c r="BH7" s="3">
        <v>1.6561276723878399E-3</v>
      </c>
      <c r="BI7">
        <v>1.48408396782381E-3</v>
      </c>
      <c r="BJ7" s="8">
        <v>0.98565670913862902</v>
      </c>
      <c r="BK7" s="13">
        <v>23779</v>
      </c>
      <c r="BL7" s="3">
        <v>1.6821565246646201E-3</v>
      </c>
      <c r="BM7" s="3">
        <v>3.6226442342407401E-4</v>
      </c>
      <c r="BN7" s="13">
        <v>6.3295344631818001E-4</v>
      </c>
      <c r="BO7" s="13">
        <v>7.15987628475939</v>
      </c>
      <c r="BP7" s="13">
        <v>7.15987628475939</v>
      </c>
      <c r="BQ7" s="10">
        <v>3.1831347212750898</v>
      </c>
      <c r="BR7" s="10">
        <v>0.69223861461940195</v>
      </c>
      <c r="BS7" s="10">
        <v>0.69223861461940195</v>
      </c>
      <c r="BT7" s="10">
        <v>0.307761385380597</v>
      </c>
      <c r="BU7" s="10">
        <v>0.57574917075060805</v>
      </c>
      <c r="BV7">
        <v>0.46071500463640702</v>
      </c>
      <c r="BW7">
        <v>4.3880236058563904</v>
      </c>
      <c r="BX7">
        <v>2.1697855789070002</v>
      </c>
      <c r="BY7">
        <v>1.11431917204166E-2</v>
      </c>
      <c r="BZ7">
        <v>5.7351807411049602E-2</v>
      </c>
      <c r="CA7">
        <v>0.9</v>
      </c>
      <c r="CB7">
        <v>17.326203208556102</v>
      </c>
    </row>
    <row r="8" spans="1:80" x14ac:dyDescent="0.2">
      <c r="A8" t="s">
        <v>134</v>
      </c>
      <c r="B8">
        <v>1.93106761557075</v>
      </c>
      <c r="C8">
        <v>4.4886925956903303</v>
      </c>
      <c r="D8">
        <v>0</v>
      </c>
      <c r="E8">
        <v>6.4197602112610799</v>
      </c>
      <c r="F8">
        <v>5.6675421067459597</v>
      </c>
      <c r="G8">
        <v>7.2452269923749304</v>
      </c>
      <c r="H8">
        <v>3.7301046639237798</v>
      </c>
      <c r="I8">
        <v>5.30356486849014</v>
      </c>
      <c r="J8">
        <v>7.45163955562077</v>
      </c>
      <c r="K8">
        <v>6.1665135308865304</v>
      </c>
      <c r="L8">
        <v>8.9805700518874598</v>
      </c>
      <c r="M8">
        <v>0</v>
      </c>
      <c r="N8">
        <v>1.2427774853092</v>
      </c>
      <c r="O8">
        <v>15.114177252191</v>
      </c>
      <c r="P8">
        <v>13.335094733743301</v>
      </c>
      <c r="Q8">
        <v>17.091444176481101</v>
      </c>
      <c r="R8">
        <v>1000</v>
      </c>
      <c r="S8" s="10">
        <v>0.12461942843103201</v>
      </c>
      <c r="T8" s="6">
        <v>11</v>
      </c>
      <c r="U8" s="6">
        <v>38.048000000000002</v>
      </c>
      <c r="V8" s="4">
        <v>284.66581394117702</v>
      </c>
      <c r="W8" s="8">
        <v>40365</v>
      </c>
      <c r="X8" s="8">
        <v>192459</v>
      </c>
      <c r="Y8" s="9">
        <v>1.7471737405793999</v>
      </c>
      <c r="Z8" s="8">
        <v>86</v>
      </c>
      <c r="AA8" s="8">
        <v>80.531999999999996</v>
      </c>
      <c r="AB8" s="8">
        <v>54</v>
      </c>
      <c r="AC8">
        <v>15.930999999999999</v>
      </c>
      <c r="AD8">
        <v>144</v>
      </c>
      <c r="AE8">
        <v>89</v>
      </c>
      <c r="AF8">
        <v>3.1738451008799502</v>
      </c>
      <c r="AG8" t="s">
        <v>43</v>
      </c>
      <c r="AH8" t="s">
        <v>43</v>
      </c>
      <c r="AI8" s="12" t="s">
        <v>162</v>
      </c>
      <c r="AJ8" s="4">
        <v>110154</v>
      </c>
      <c r="AK8" s="6">
        <v>4.7679522139981803</v>
      </c>
      <c r="AL8" s="12">
        <v>0.45796686083536697</v>
      </c>
      <c r="AM8" s="2">
        <v>5.70715684376574E-2</v>
      </c>
      <c r="AN8">
        <v>3.94081234550405E-3</v>
      </c>
      <c r="AO8">
        <v>0</v>
      </c>
      <c r="AP8">
        <v>1</v>
      </c>
      <c r="AQ8" s="3">
        <v>0</v>
      </c>
      <c r="AR8" s="3">
        <v>6.7836302112827297E-3</v>
      </c>
      <c r="AS8" s="2">
        <v>1.5768288202734002E-2</v>
      </c>
      <c r="AT8" s="2">
        <v>9.9494462502068299E-3</v>
      </c>
      <c r="AU8" s="2">
        <v>2.2018866109868401E-2</v>
      </c>
      <c r="AV8" s="2">
        <v>0</v>
      </c>
      <c r="AW8" s="2">
        <v>2.25519184140167E-2</v>
      </c>
      <c r="AX8" s="3">
        <v>5.3094458526425803E-2</v>
      </c>
      <c r="AY8" s="3">
        <v>-6.2497231185453996E-3</v>
      </c>
      <c r="AZ8" s="2">
        <v>6.9459233510160701E-3</v>
      </c>
      <c r="BA8" s="2">
        <v>4.6844735407880402E-2</v>
      </c>
      <c r="BB8" s="3">
        <v>6.0040381877441901E-2</v>
      </c>
      <c r="BC8" s="3">
        <v>2.6176798163620001E-2</v>
      </c>
      <c r="BD8" s="3">
        <v>2.16622904082216E-2</v>
      </c>
      <c r="BE8" s="3">
        <v>3.15477644735494E-2</v>
      </c>
      <c r="BF8" s="3">
        <v>0</v>
      </c>
      <c r="BG8" s="3">
        <v>4.3657419487891404E-3</v>
      </c>
      <c r="BH8" s="3">
        <v>7.8072516658496296E-4</v>
      </c>
      <c r="BI8">
        <v>7.3108557110953805E-4</v>
      </c>
      <c r="BJ8" s="8">
        <v>0.98482157794134095</v>
      </c>
      <c r="BK8" s="13">
        <v>23103</v>
      </c>
      <c r="BL8" s="3">
        <v>2.33735878457343E-3</v>
      </c>
      <c r="BM8" s="3">
        <v>3.9467360336925599E-4</v>
      </c>
      <c r="BN8" s="13">
        <v>6.8956412587109896E-4</v>
      </c>
      <c r="BO8" s="13">
        <v>11.9403321513111</v>
      </c>
      <c r="BP8" s="13">
        <v>11.9403321513111</v>
      </c>
      <c r="BQ8" s="10">
        <v>3.1738451008799502</v>
      </c>
      <c r="BR8" s="10">
        <v>0.79000734690358798</v>
      </c>
      <c r="BS8" s="10">
        <v>0.79000734690358798</v>
      </c>
      <c r="BT8" s="10">
        <v>0.20999265309641299</v>
      </c>
      <c r="BU8" s="10">
        <v>0.57524755507201097</v>
      </c>
      <c r="BV8">
        <v>0.49302096450979099</v>
      </c>
      <c r="BW8">
        <v>6.4197602112610799</v>
      </c>
      <c r="BX8">
        <v>3.2740525916149501</v>
      </c>
      <c r="BY8">
        <v>1.2321595201539901E-2</v>
      </c>
      <c r="BZ8">
        <v>5.4455461287783197E-2</v>
      </c>
      <c r="CA8">
        <v>0.9</v>
      </c>
      <c r="CB8">
        <v>17.326203208556102</v>
      </c>
    </row>
    <row r="9" spans="1:80" x14ac:dyDescent="0.2">
      <c r="A9" t="s">
        <v>135</v>
      </c>
      <c r="B9">
        <v>1.3808151736951799</v>
      </c>
      <c r="C9">
        <v>2.5889698018392902</v>
      </c>
      <c r="D9">
        <v>0</v>
      </c>
      <c r="E9">
        <v>3.9697849755344699</v>
      </c>
      <c r="F9">
        <v>3.3549482489709699</v>
      </c>
      <c r="G9">
        <v>4.9081228218178596</v>
      </c>
      <c r="H9">
        <v>1.97948820711221</v>
      </c>
      <c r="I9">
        <v>3.53471692507657</v>
      </c>
      <c r="J9">
        <v>3.7673711008131101</v>
      </c>
      <c r="K9">
        <v>2.9483599458888898</v>
      </c>
      <c r="L9">
        <v>5.0097868817779201</v>
      </c>
      <c r="M9">
        <v>0</v>
      </c>
      <c r="N9">
        <v>0.922322870866917</v>
      </c>
      <c r="O9">
        <v>8.6594789472145006</v>
      </c>
      <c r="P9">
        <v>7.44716445450136</v>
      </c>
      <c r="Q9">
        <v>10.2985797298864</v>
      </c>
      <c r="R9">
        <v>1000</v>
      </c>
      <c r="S9" s="10">
        <v>0.209435183855015</v>
      </c>
      <c r="T9" s="6">
        <v>20.646401600000001</v>
      </c>
      <c r="U9" s="6">
        <v>37.196176143999999</v>
      </c>
      <c r="V9" s="4">
        <v>245.23327540106999</v>
      </c>
      <c r="W9" s="8">
        <v>33090</v>
      </c>
      <c r="X9" s="8">
        <v>238974</v>
      </c>
      <c r="Y9" s="9">
        <v>1.99587797622094</v>
      </c>
      <c r="Z9" s="8">
        <v>48</v>
      </c>
      <c r="AA9" s="8">
        <v>45.369</v>
      </c>
      <c r="AB9" s="8">
        <v>27</v>
      </c>
      <c r="AC9">
        <v>8.0909999999999993</v>
      </c>
      <c r="AD9">
        <v>63</v>
      </c>
      <c r="AE9">
        <v>34</v>
      </c>
      <c r="AF9">
        <v>2.3031380445620999</v>
      </c>
      <c r="AG9" t="s">
        <v>43</v>
      </c>
      <c r="AH9" t="s">
        <v>43</v>
      </c>
      <c r="AI9" s="12" t="s">
        <v>162</v>
      </c>
      <c r="AJ9" s="4">
        <v>119733</v>
      </c>
      <c r="AK9" s="6">
        <v>7.2219675493093698</v>
      </c>
      <c r="AL9" s="12">
        <v>0.37211076458539299</v>
      </c>
      <c r="AM9" s="2">
        <v>7.7933086395372095E-2</v>
      </c>
      <c r="AN9">
        <v>6.62292203157971E-3</v>
      </c>
      <c r="AO9">
        <v>0</v>
      </c>
      <c r="AP9">
        <v>1</v>
      </c>
      <c r="AQ9" s="3">
        <v>0</v>
      </c>
      <c r="AR9" s="3">
        <v>5.6306191377858998E-3</v>
      </c>
      <c r="AS9" s="2">
        <v>1.05571717280419E-2</v>
      </c>
      <c r="AT9" s="2">
        <v>3.8782098775678102E-3</v>
      </c>
      <c r="AU9" s="2">
        <v>2.0921076087001202E-2</v>
      </c>
      <c r="AV9" s="2">
        <v>0</v>
      </c>
      <c r="AW9" s="2">
        <v>1.6187790865827799E-2</v>
      </c>
      <c r="AX9" s="3">
        <v>3.53111906736647E-2</v>
      </c>
      <c r="AY9" s="3">
        <v>-4.9435154781929296E-3</v>
      </c>
      <c r="AZ9" s="2">
        <v>6.6838432916217902E-3</v>
      </c>
      <c r="BA9" s="2">
        <v>3.0367675195471799E-2</v>
      </c>
      <c r="BB9" s="3">
        <v>4.1995033965286498E-2</v>
      </c>
      <c r="BC9" s="3">
        <v>1.53623976789109E-2</v>
      </c>
      <c r="BD9" s="3">
        <v>1.20226749044026E-2</v>
      </c>
      <c r="BE9" s="3">
        <v>2.0428658686650902E-2</v>
      </c>
      <c r="BF9" s="3">
        <v>0</v>
      </c>
      <c r="BG9" s="3">
        <v>3.7610021289259899E-3</v>
      </c>
      <c r="BH9" s="3">
        <v>4.0089198466588199E-4</v>
      </c>
      <c r="BI9">
        <v>3.7891809275638298E-4</v>
      </c>
      <c r="BJ9" s="8">
        <v>0.98091802052953603</v>
      </c>
      <c r="BK9" s="13">
        <v>16579</v>
      </c>
      <c r="BL9" s="3">
        <v>1.6285662585198101E-3</v>
      </c>
      <c r="BM9" s="3">
        <v>2.44514959202176E-4</v>
      </c>
      <c r="BN9" s="13">
        <v>4.8802702213643801E-4</v>
      </c>
      <c r="BO9" s="13">
        <v>6.3563409026524003</v>
      </c>
      <c r="BP9" s="13">
        <v>6.3563409026524003</v>
      </c>
      <c r="BQ9" s="10">
        <v>2.3031380445620999</v>
      </c>
      <c r="BR9" s="10">
        <v>0.73402609528532903</v>
      </c>
      <c r="BS9" s="10">
        <v>0.73402609528532903</v>
      </c>
      <c r="BT9" s="10">
        <v>0.26597390471467097</v>
      </c>
      <c r="BU9" s="10">
        <v>0.54156734316908195</v>
      </c>
      <c r="BV9">
        <v>0.43505404657267299</v>
      </c>
      <c r="BW9">
        <v>3.9697849755344699</v>
      </c>
      <c r="BX9">
        <v>2.82020442878955</v>
      </c>
      <c r="BY9">
        <v>1.4791801399425099E-2</v>
      </c>
      <c r="BZ9">
        <v>6.1625507639022699E-2</v>
      </c>
      <c r="CA9">
        <v>0.9</v>
      </c>
      <c r="CB9">
        <v>17.326203208556102</v>
      </c>
    </row>
    <row r="10" spans="1:80" x14ac:dyDescent="0.2">
      <c r="A10" t="s">
        <v>136</v>
      </c>
      <c r="B10">
        <v>1.3321960921998499</v>
      </c>
      <c r="C10">
        <v>3.8455934876448299</v>
      </c>
      <c r="D10">
        <v>0</v>
      </c>
      <c r="E10">
        <v>5.1777895798446796</v>
      </c>
      <c r="F10">
        <v>4.4850048873006401</v>
      </c>
      <c r="G10">
        <v>5.9572725513062696</v>
      </c>
      <c r="H10">
        <v>3.1553436942862398</v>
      </c>
      <c r="I10">
        <v>4.6287291468793601</v>
      </c>
      <c r="J10">
        <v>4.2079762722842498</v>
      </c>
      <c r="K10">
        <v>3.5632984897621198</v>
      </c>
      <c r="L10">
        <v>5.0331369613611603</v>
      </c>
      <c r="M10">
        <v>0</v>
      </c>
      <c r="N10">
        <v>0.87037444810168496</v>
      </c>
      <c r="O10">
        <v>10.2561403002306</v>
      </c>
      <c r="P10">
        <v>9.1307418886136809</v>
      </c>
      <c r="Q10">
        <v>11.593468891377899</v>
      </c>
      <c r="R10">
        <v>1000</v>
      </c>
      <c r="S10" s="10">
        <v>0.15097099129521599</v>
      </c>
      <c r="T10" s="6">
        <v>23.632191899999999</v>
      </c>
      <c r="U10" s="6">
        <v>35.298321919000003</v>
      </c>
      <c r="V10" s="4">
        <v>231.42088684492001</v>
      </c>
      <c r="W10" s="8">
        <v>31919</v>
      </c>
      <c r="X10" s="8">
        <v>238393</v>
      </c>
      <c r="Y10" s="9">
        <v>1.99587797622094</v>
      </c>
      <c r="Z10" s="8">
        <v>94</v>
      </c>
      <c r="AA10" s="8">
        <v>90.637</v>
      </c>
      <c r="AB10" s="8">
        <v>39</v>
      </c>
      <c r="AC10">
        <v>13.337</v>
      </c>
      <c r="AD10">
        <v>151</v>
      </c>
      <c r="AE10">
        <v>65</v>
      </c>
      <c r="AF10">
        <v>2.2025705403015401</v>
      </c>
      <c r="AG10" t="s">
        <v>43</v>
      </c>
      <c r="AH10" t="s">
        <v>43</v>
      </c>
      <c r="AI10" s="12" t="s">
        <v>162</v>
      </c>
      <c r="AJ10" s="4">
        <v>119442</v>
      </c>
      <c r="AK10" s="6">
        <v>7.4688594297148603</v>
      </c>
      <c r="AL10" s="12">
        <v>0.36590880241805002</v>
      </c>
      <c r="AM10" s="2">
        <v>5.5241614624698301E-2</v>
      </c>
      <c r="AN10">
        <v>4.7741219310633602E-3</v>
      </c>
      <c r="AO10">
        <v>0</v>
      </c>
      <c r="AP10">
        <v>1</v>
      </c>
      <c r="AQ10" s="3">
        <v>0</v>
      </c>
      <c r="AR10" s="3">
        <v>5.7565940151831901E-3</v>
      </c>
      <c r="AS10" s="2">
        <v>1.6617313761405801E-2</v>
      </c>
      <c r="AT10" s="2">
        <v>8.4659387330266404E-3</v>
      </c>
      <c r="AU10" s="2">
        <v>2.5865606941555E-2</v>
      </c>
      <c r="AV10" s="2">
        <v>0</v>
      </c>
      <c r="AW10" s="2">
        <v>2.2373907776589E-2</v>
      </c>
      <c r="AX10" s="3">
        <v>4.4318127201299198E-2</v>
      </c>
      <c r="AY10" s="3">
        <v>-4.8629941184655801E-3</v>
      </c>
      <c r="AZ10" s="2">
        <v>5.7787722161979204E-3</v>
      </c>
      <c r="BA10" s="2">
        <v>3.9455133082833597E-2</v>
      </c>
      <c r="BB10" s="3">
        <v>5.00968994174971E-2</v>
      </c>
      <c r="BC10" s="3">
        <v>1.81832172957841E-2</v>
      </c>
      <c r="BD10" s="3">
        <v>1.53974800561108E-2</v>
      </c>
      <c r="BE10" s="3">
        <v>2.1748844842747399E-2</v>
      </c>
      <c r="BF10" s="3">
        <v>0</v>
      </c>
      <c r="BG10" s="3">
        <v>3.7610021289259899E-3</v>
      </c>
      <c r="BH10" s="3">
        <v>7.8699285008623397E-4</v>
      </c>
      <c r="BI10">
        <v>7.5883692503474502E-4</v>
      </c>
      <c r="BJ10" s="8">
        <v>0.98006713224619502</v>
      </c>
      <c r="BK10" s="13">
        <v>15992</v>
      </c>
      <c r="BL10" s="3">
        <v>2.4387193596798399E-3</v>
      </c>
      <c r="BM10" s="3">
        <v>4.1783890472759202E-4</v>
      </c>
      <c r="BN10" s="13">
        <v>8.3397948974487204E-4</v>
      </c>
      <c r="BO10" s="13">
        <v>8.0535697599290792</v>
      </c>
      <c r="BP10" s="13">
        <v>8.0535697599290792</v>
      </c>
      <c r="BQ10" s="10">
        <v>2.2025705403015401</v>
      </c>
      <c r="BR10" s="10">
        <v>0.78523422801881704</v>
      </c>
      <c r="BS10" s="10">
        <v>0.78523422801881704</v>
      </c>
      <c r="BT10" s="10">
        <v>0.21476577198118299</v>
      </c>
      <c r="BU10" s="10">
        <v>0.495144919696626</v>
      </c>
      <c r="BV10">
        <v>0.41027688673523</v>
      </c>
      <c r="BW10">
        <v>5.1777895798446796</v>
      </c>
      <c r="BX10">
        <v>3.80924139100693</v>
      </c>
      <c r="BY10">
        <v>1.44710409482816E-2</v>
      </c>
      <c r="BZ10">
        <v>6.1625507639022699E-2</v>
      </c>
      <c r="CA10">
        <v>0.9</v>
      </c>
      <c r="CB10">
        <v>17.326203208556102</v>
      </c>
    </row>
    <row r="11" spans="1:80" x14ac:dyDescent="0.2">
      <c r="A11" t="s">
        <v>137</v>
      </c>
      <c r="B11">
        <v>1.3587441629744299</v>
      </c>
      <c r="C11">
        <v>1.7464598416839301</v>
      </c>
      <c r="D11">
        <v>0</v>
      </c>
      <c r="E11">
        <v>3.10520400465836</v>
      </c>
      <c r="F11">
        <v>2.6631169426105199</v>
      </c>
      <c r="G11">
        <v>3.6283864029275801</v>
      </c>
      <c r="H11">
        <v>1.3028273879821399</v>
      </c>
      <c r="I11">
        <v>2.2688465574380601</v>
      </c>
      <c r="J11">
        <v>0.79447775522488695</v>
      </c>
      <c r="K11">
        <v>0.56810140102616302</v>
      </c>
      <c r="L11">
        <v>1.0449882695338699</v>
      </c>
      <c r="M11">
        <v>0</v>
      </c>
      <c r="N11">
        <v>0.74474802017904296</v>
      </c>
      <c r="O11">
        <v>4.64442978006229</v>
      </c>
      <c r="P11">
        <v>4.0045046401290199</v>
      </c>
      <c r="Q11">
        <v>5.3527548087253303</v>
      </c>
      <c r="R11">
        <v>1000</v>
      </c>
      <c r="S11" s="10">
        <v>0.119341389978153</v>
      </c>
      <c r="T11" s="6">
        <v>15.958829700000001</v>
      </c>
      <c r="U11" s="6">
        <v>22.638999999999999</v>
      </c>
      <c r="V11" s="4">
        <v>198.01850534759399</v>
      </c>
      <c r="W11" s="8">
        <v>33418</v>
      </c>
      <c r="X11" s="8">
        <v>119340</v>
      </c>
      <c r="Y11" s="9">
        <v>1.99587797622094</v>
      </c>
      <c r="Z11" s="8">
        <v>47</v>
      </c>
      <c r="AA11" s="8">
        <v>41.362000000000002</v>
      </c>
      <c r="AB11" s="8">
        <v>35</v>
      </c>
      <c r="AC11">
        <v>15.708</v>
      </c>
      <c r="AD11">
        <v>17</v>
      </c>
      <c r="AE11">
        <v>12</v>
      </c>
      <c r="AF11">
        <v>2.1034921831534699</v>
      </c>
      <c r="AG11" t="s">
        <v>43</v>
      </c>
      <c r="AH11" t="s">
        <v>43</v>
      </c>
      <c r="AI11" s="12" t="s">
        <v>162</v>
      </c>
      <c r="AJ11" s="4">
        <v>59793</v>
      </c>
      <c r="AK11" s="6">
        <v>3.5712237950188102</v>
      </c>
      <c r="AL11" s="12">
        <v>0.52916543291403595</v>
      </c>
      <c r="AM11" s="2">
        <v>6.3151338292352199E-2</v>
      </c>
      <c r="AN11">
        <v>3.77390611461356E-3</v>
      </c>
      <c r="AO11">
        <v>0</v>
      </c>
      <c r="AP11">
        <v>1</v>
      </c>
      <c r="AQ11" s="3">
        <v>0</v>
      </c>
      <c r="AR11" s="3">
        <v>6.8617029534151202E-3</v>
      </c>
      <c r="AS11" s="2">
        <v>8.8196799517209906E-3</v>
      </c>
      <c r="AT11" s="2">
        <v>4.5859216188824997E-3</v>
      </c>
      <c r="AU11" s="2">
        <v>1.3805021065369299E-2</v>
      </c>
      <c r="AV11" s="2">
        <v>0</v>
      </c>
      <c r="AW11" s="2">
        <v>1.5681382905136099E-2</v>
      </c>
      <c r="AX11" s="3">
        <v>2.3454523969412101E-2</v>
      </c>
      <c r="AY11" s="3">
        <v>-3.2316431174448401E-3</v>
      </c>
      <c r="AZ11" s="2">
        <v>3.5770648173496702E-3</v>
      </c>
      <c r="BA11" s="2">
        <v>2.02228808519672E-2</v>
      </c>
      <c r="BB11" s="3">
        <v>2.70315887867618E-2</v>
      </c>
      <c r="BC11" s="3">
        <v>4.0121389353499799E-3</v>
      </c>
      <c r="BD11" s="3">
        <v>2.86893086092606E-3</v>
      </c>
      <c r="BE11" s="3">
        <v>5.2772253163892004E-3</v>
      </c>
      <c r="BF11" s="3">
        <v>0</v>
      </c>
      <c r="BG11" s="3">
        <v>3.7610021289259899E-3</v>
      </c>
      <c r="BH11" s="3">
        <v>7.8604518923619797E-4</v>
      </c>
      <c r="BI11">
        <v>6.9175321525931095E-4</v>
      </c>
      <c r="BJ11" s="8">
        <v>0.956862562351802</v>
      </c>
      <c r="BK11" s="13">
        <v>16743</v>
      </c>
      <c r="BL11" s="3">
        <v>2.0904258496087899E-3</v>
      </c>
      <c r="BM11" s="3">
        <v>4.7004608294930899E-4</v>
      </c>
      <c r="BN11" s="13">
        <v>9.3818312130442602E-4</v>
      </c>
      <c r="BO11" s="13">
        <v>2.5409375969088099</v>
      </c>
      <c r="BP11" s="13">
        <v>2.5409375969088099</v>
      </c>
      <c r="BQ11" s="10">
        <v>2.1034921831534699</v>
      </c>
      <c r="BR11" s="10">
        <v>0.54707850638984301</v>
      </c>
      <c r="BS11" s="10">
        <v>0.54707850638984301</v>
      </c>
      <c r="BT11" s="10">
        <v>0.45292149361015799</v>
      </c>
      <c r="BU11" s="10">
        <v>0.331412199615361</v>
      </c>
      <c r="BV11">
        <v>0.17105448027727299</v>
      </c>
      <c r="BW11">
        <v>3.10520400465836</v>
      </c>
      <c r="BX11">
        <v>2.1868107313391199</v>
      </c>
      <c r="BY11">
        <v>1.1826942922271599E-2</v>
      </c>
      <c r="BZ11">
        <v>6.1625507639022699E-2</v>
      </c>
      <c r="CA11">
        <v>0.9</v>
      </c>
      <c r="CB11">
        <v>17.326203208556102</v>
      </c>
    </row>
    <row r="12" spans="1:80" x14ac:dyDescent="0.2">
      <c r="A12" t="s">
        <v>138</v>
      </c>
      <c r="B12">
        <v>8.1036661541375103</v>
      </c>
      <c r="C12">
        <v>2.2926295873926401</v>
      </c>
      <c r="D12">
        <v>0</v>
      </c>
      <c r="E12">
        <v>10.3962957415301</v>
      </c>
      <c r="F12">
        <v>9.7413771875233905</v>
      </c>
      <c r="G12">
        <v>11.1984653603854</v>
      </c>
      <c r="H12">
        <v>1.6569229974097499</v>
      </c>
      <c r="I12">
        <v>3.0871284681060698</v>
      </c>
      <c r="J12">
        <v>0.70680532557291698</v>
      </c>
      <c r="K12">
        <v>0.46072833803334101</v>
      </c>
      <c r="L12">
        <v>1.0545084851292701</v>
      </c>
      <c r="M12">
        <v>0</v>
      </c>
      <c r="N12">
        <v>6.2465240391779702</v>
      </c>
      <c r="O12">
        <v>17.349625106281</v>
      </c>
      <c r="P12">
        <v>15.504574680412199</v>
      </c>
      <c r="Q12">
        <v>19.299476324692201</v>
      </c>
      <c r="R12">
        <v>1000</v>
      </c>
      <c r="S12" s="10">
        <v>5.5541725917151001E-2</v>
      </c>
      <c r="T12" s="6">
        <v>11.1023447</v>
      </c>
      <c r="U12" s="6">
        <v>69.822000000000003</v>
      </c>
      <c r="V12" s="4">
        <v>1997.39449106952</v>
      </c>
      <c r="W12" s="8">
        <v>11671</v>
      </c>
      <c r="X12" s="8">
        <v>59356</v>
      </c>
      <c r="Y12" s="9">
        <v>1.6088026118202501</v>
      </c>
      <c r="Z12" s="8">
        <v>34</v>
      </c>
      <c r="AA12" s="8">
        <v>27.794</v>
      </c>
      <c r="AB12" s="8">
        <v>27</v>
      </c>
      <c r="AC12">
        <v>8.4619999999999997</v>
      </c>
      <c r="AD12">
        <v>24</v>
      </c>
      <c r="AE12">
        <v>9</v>
      </c>
      <c r="AF12">
        <v>14.3501901933155</v>
      </c>
      <c r="AG12" t="s">
        <v>43</v>
      </c>
      <c r="AH12" t="s">
        <v>43</v>
      </c>
      <c r="AI12" s="12" t="s">
        <v>162</v>
      </c>
      <c r="AJ12" s="4">
        <v>36894</v>
      </c>
      <c r="AK12" s="6">
        <v>5.0860215053763396</v>
      </c>
      <c r="AL12" s="12">
        <v>0.44341553440561798</v>
      </c>
      <c r="AM12" s="2">
        <v>2.4628064079363899E-2</v>
      </c>
      <c r="AN12">
        <v>1.7563835907500199E-3</v>
      </c>
      <c r="AO12">
        <v>0.98977113683559703</v>
      </c>
      <c r="AP12">
        <v>1.0228863164404E-2</v>
      </c>
      <c r="AQ12" s="3">
        <v>0</v>
      </c>
      <c r="AR12" s="3">
        <v>4.0571185063188698E-3</v>
      </c>
      <c r="AS12" s="2">
        <v>1.14781010844034E-3</v>
      </c>
      <c r="AT12" s="2">
        <v>4.3004562963848701E-4</v>
      </c>
      <c r="AU12" s="2">
        <v>2.0448640072197799E-3</v>
      </c>
      <c r="AV12" s="2">
        <v>0</v>
      </c>
      <c r="AW12" s="2">
        <v>5.2049286147592098E-3</v>
      </c>
      <c r="AX12" s="3">
        <v>8.6861284457588808E-3</v>
      </c>
      <c r="AY12" s="3">
        <v>-9.2372860449860305E-4</v>
      </c>
      <c r="AZ12" s="2">
        <v>9.7619735466832405E-4</v>
      </c>
      <c r="BA12" s="2">
        <v>7.7623998412602799E-3</v>
      </c>
      <c r="BB12" s="3">
        <v>9.66232580042721E-3</v>
      </c>
      <c r="BC12" s="3">
        <v>3.5386366024993599E-4</v>
      </c>
      <c r="BD12" s="3">
        <v>2.30664668443459E-4</v>
      </c>
      <c r="BE12" s="3">
        <v>5.2794202139038902E-4</v>
      </c>
      <c r="BF12" s="3">
        <v>0</v>
      </c>
      <c r="BG12" s="3">
        <v>3.12733617074974E-3</v>
      </c>
      <c r="BH12" s="3">
        <v>9.2155906109394497E-4</v>
      </c>
      <c r="BI12">
        <v>7.5334742776603204E-4</v>
      </c>
      <c r="BJ12" s="8">
        <v>0.95598770860675597</v>
      </c>
      <c r="BK12" s="13">
        <v>7254</v>
      </c>
      <c r="BL12" s="3">
        <v>3.7220843672456602E-3</v>
      </c>
      <c r="BM12" s="3">
        <v>7.2504498329191999E-4</v>
      </c>
      <c r="BN12" s="13">
        <v>1.1665288116900999E-3</v>
      </c>
      <c r="BO12" s="13">
        <v>2.9994349129655502</v>
      </c>
      <c r="BP12" s="13">
        <v>2.9994349129655502</v>
      </c>
      <c r="BQ12" s="10">
        <v>14.3501901933155</v>
      </c>
      <c r="BR12" s="10">
        <v>0.17287703778140801</v>
      </c>
      <c r="BS12" s="10">
        <v>0.17287703778140801</v>
      </c>
      <c r="BT12" s="10">
        <v>0.82712296221859205</v>
      </c>
      <c r="BU12" s="10">
        <v>0.40077845464567502</v>
      </c>
      <c r="BV12">
        <v>4.07377495271967E-2</v>
      </c>
      <c r="BW12">
        <v>10.3962957415301</v>
      </c>
      <c r="BX12">
        <v>1.2264514674463001</v>
      </c>
      <c r="BY12">
        <v>0.27535077075675701</v>
      </c>
      <c r="BZ12">
        <v>9.7082922446813796E-3</v>
      </c>
      <c r="CA12">
        <v>0.9</v>
      </c>
      <c r="CB12">
        <v>17.326203208556102</v>
      </c>
    </row>
    <row r="13" spans="1:80" x14ac:dyDescent="0.2">
      <c r="A13" t="s">
        <v>139</v>
      </c>
      <c r="B13">
        <v>8.0555189349316692</v>
      </c>
      <c r="C13">
        <v>2.32065178155929</v>
      </c>
      <c r="D13">
        <v>0</v>
      </c>
      <c r="E13">
        <v>10.376170716491</v>
      </c>
      <c r="F13">
        <v>9.6129005734879804</v>
      </c>
      <c r="G13">
        <v>11.347088418534501</v>
      </c>
      <c r="H13">
        <v>1.5940501593531</v>
      </c>
      <c r="I13">
        <v>3.2692363436464702</v>
      </c>
      <c r="J13">
        <v>2.3776261374826402</v>
      </c>
      <c r="K13">
        <v>1.5978784239464401</v>
      </c>
      <c r="L13">
        <v>4.1619269165924697</v>
      </c>
      <c r="M13">
        <v>0</v>
      </c>
      <c r="N13">
        <v>6.1693766305727804</v>
      </c>
      <c r="O13">
        <v>18.9231734845464</v>
      </c>
      <c r="P13">
        <v>16.5423274039712</v>
      </c>
      <c r="Q13">
        <v>22.055776742582399</v>
      </c>
      <c r="R13">
        <v>1000</v>
      </c>
      <c r="S13" s="10">
        <v>0.112797404753221</v>
      </c>
      <c r="T13" s="6">
        <v>10.160212599999999</v>
      </c>
      <c r="U13" s="6">
        <v>61.817999999999998</v>
      </c>
      <c r="V13" s="4">
        <v>1972.72576203209</v>
      </c>
      <c r="W13" s="8">
        <v>11688</v>
      </c>
      <c r="X13" s="8">
        <v>67811</v>
      </c>
      <c r="Y13" s="9">
        <v>1.6088026118202501</v>
      </c>
      <c r="Z13" s="8">
        <v>40</v>
      </c>
      <c r="AA13" s="8">
        <v>32.482999999999997</v>
      </c>
      <c r="AB13" s="8">
        <v>33</v>
      </c>
      <c r="AC13">
        <v>8.4710000000000001</v>
      </c>
      <c r="AD13">
        <v>29</v>
      </c>
      <c r="AE13">
        <v>21</v>
      </c>
      <c r="AF13">
        <v>14.2248955655045</v>
      </c>
      <c r="AG13" t="s">
        <v>43</v>
      </c>
      <c r="AH13" t="s">
        <v>43</v>
      </c>
      <c r="AI13" s="12" t="s">
        <v>162</v>
      </c>
      <c r="AJ13" s="4">
        <v>42149</v>
      </c>
      <c r="AK13" s="6">
        <v>5.8016517549896802</v>
      </c>
      <c r="AL13" s="12">
        <v>0.41516828655555399</v>
      </c>
      <c r="AM13" s="2">
        <v>4.6829905259308198E-2</v>
      </c>
      <c r="AN13">
        <v>3.56696713176083E-3</v>
      </c>
      <c r="AO13" s="16">
        <v>0.987433774113744</v>
      </c>
      <c r="AP13">
        <v>1.25662258862539E-2</v>
      </c>
      <c r="AQ13" s="3">
        <v>0</v>
      </c>
      <c r="AR13" s="3">
        <v>4.0834459051387701E-3</v>
      </c>
      <c r="AS13" s="2">
        <v>1.1763681633927699E-3</v>
      </c>
      <c r="AT13" s="2">
        <v>2.8920096650466399E-4</v>
      </c>
      <c r="AU13" s="2">
        <v>2.3345724410036399E-3</v>
      </c>
      <c r="AV13" s="2">
        <v>0</v>
      </c>
      <c r="AW13" s="2">
        <v>5.2598140685315396E-3</v>
      </c>
      <c r="AX13" s="3">
        <v>9.5923994347059203E-3</v>
      </c>
      <c r="AY13" s="3">
        <v>-1.20688142589199E-3</v>
      </c>
      <c r="AZ13" s="2">
        <v>1.5879567846314199E-3</v>
      </c>
      <c r="BA13" s="2">
        <v>8.3855180088139303E-3</v>
      </c>
      <c r="BB13" s="3">
        <v>1.1180356219337301E-2</v>
      </c>
      <c r="BC13" s="3">
        <v>1.20524919542464E-3</v>
      </c>
      <c r="BD13" s="3">
        <v>8.0998507481368199E-4</v>
      </c>
      <c r="BE13" s="3">
        <v>2.1097341539785602E-3</v>
      </c>
      <c r="BF13" s="3">
        <v>0</v>
      </c>
      <c r="BG13" s="3">
        <v>3.12733617074974E-3</v>
      </c>
      <c r="BH13" s="3">
        <v>9.4901421148781704E-4</v>
      </c>
      <c r="BI13">
        <v>7.7067071579396901E-4</v>
      </c>
      <c r="BJ13" s="8">
        <v>0.951098852439068</v>
      </c>
      <c r="BK13" s="13">
        <v>7265</v>
      </c>
      <c r="BL13" s="3">
        <v>4.5423262216104602E-3</v>
      </c>
      <c r="BM13" s="3">
        <v>7.2476043805612595E-4</v>
      </c>
      <c r="BN13" s="13">
        <v>1.1660013764624899E-3</v>
      </c>
      <c r="BO13" s="13">
        <v>4.6982779190419297</v>
      </c>
      <c r="BP13" s="13">
        <v>4.6982779190419297</v>
      </c>
      <c r="BQ13" s="10">
        <v>14.2248955655045</v>
      </c>
      <c r="BR13" s="10">
        <v>0.248276351384593</v>
      </c>
      <c r="BS13" s="10">
        <v>0.248276351384593</v>
      </c>
      <c r="BT13" s="10">
        <v>0.75172364861540697</v>
      </c>
      <c r="BU13" s="10">
        <v>0.45166655668033001</v>
      </c>
      <c r="BV13">
        <v>0.125641217858417</v>
      </c>
      <c r="BW13">
        <v>10.376170716491</v>
      </c>
      <c r="BX13">
        <v>1.2251022995896099</v>
      </c>
      <c r="BY13">
        <v>0.27153830172499499</v>
      </c>
      <c r="BZ13">
        <v>9.7082922446813796E-3</v>
      </c>
      <c r="CA13">
        <v>0.9</v>
      </c>
      <c r="CB13">
        <v>17.326203208556102</v>
      </c>
    </row>
    <row r="14" spans="1:80" x14ac:dyDescent="0.2">
      <c r="A14" t="s">
        <v>140</v>
      </c>
      <c r="B14">
        <v>4.3376710911571301</v>
      </c>
      <c r="C14">
        <v>38.660611555781202</v>
      </c>
      <c r="D14">
        <v>0</v>
      </c>
      <c r="E14">
        <v>42.998282646938399</v>
      </c>
      <c r="F14">
        <v>36.728311639797397</v>
      </c>
      <c r="G14">
        <v>49.435414122273599</v>
      </c>
      <c r="H14">
        <v>32.3685912495148</v>
      </c>
      <c r="I14">
        <v>45.125659857676403</v>
      </c>
      <c r="J14">
        <v>7.8221008831987202</v>
      </c>
      <c r="K14">
        <v>5.5119389808964296</v>
      </c>
      <c r="L14">
        <v>10.208932941880899</v>
      </c>
      <c r="M14">
        <v>0</v>
      </c>
      <c r="N14">
        <v>18.142915552524599</v>
      </c>
      <c r="O14">
        <v>68.963299082661607</v>
      </c>
      <c r="P14">
        <v>58.871932031627701</v>
      </c>
      <c r="Q14">
        <v>79.365055845039905</v>
      </c>
      <c r="R14">
        <v>1000</v>
      </c>
      <c r="S14" s="10">
        <v>6.9680550182565901E-2</v>
      </c>
      <c r="T14" s="6">
        <v>92.241416200000003</v>
      </c>
      <c r="U14" s="6">
        <v>92.537263882000204</v>
      </c>
      <c r="V14" s="4">
        <v>10242.480039304801</v>
      </c>
      <c r="W14" s="8">
        <v>16105</v>
      </c>
      <c r="X14" s="8">
        <v>27797</v>
      </c>
      <c r="Y14" s="9">
        <v>1.2580446390776701</v>
      </c>
      <c r="Z14" s="8">
        <v>64</v>
      </c>
      <c r="AA14" s="8">
        <v>62</v>
      </c>
      <c r="AB14" s="8">
        <v>43</v>
      </c>
      <c r="AC14">
        <v>29.521999999999998</v>
      </c>
      <c r="AD14">
        <v>23</v>
      </c>
      <c r="AE14">
        <v>17</v>
      </c>
      <c r="AF14">
        <v>22.480586643681701</v>
      </c>
      <c r="AG14" t="s">
        <v>43</v>
      </c>
      <c r="AH14" t="s">
        <v>43</v>
      </c>
      <c r="AI14" s="12" t="s">
        <v>162</v>
      </c>
      <c r="AJ14" s="4">
        <v>22095</v>
      </c>
      <c r="AK14" s="6">
        <v>1.72603702835716</v>
      </c>
      <c r="AL14" s="12">
        <v>0.76115822702748404</v>
      </c>
      <c r="AM14" s="2">
        <v>5.3037924035261502E-2</v>
      </c>
      <c r="AN14">
        <v>2.2034924719056999E-3</v>
      </c>
      <c r="AO14" s="16">
        <v>7.9375058580983006E-5</v>
      </c>
      <c r="AP14">
        <v>0.99992062494141698</v>
      </c>
      <c r="AQ14" s="3">
        <v>0</v>
      </c>
      <c r="AR14" s="3">
        <v>4.2349812491814599E-4</v>
      </c>
      <c r="AS14" s="2">
        <v>3.7745361872733802E-3</v>
      </c>
      <c r="AT14" s="2">
        <v>2.96746834441365E-3</v>
      </c>
      <c r="AU14" s="2">
        <v>4.6037980670861102E-3</v>
      </c>
      <c r="AV14" s="2">
        <v>0</v>
      </c>
      <c r="AW14" s="2">
        <v>4.1980343121915198E-3</v>
      </c>
      <c r="AX14" s="3">
        <v>6.7330664856577399E-3</v>
      </c>
      <c r="AY14" s="3">
        <v>-9.8524644542230403E-4</v>
      </c>
      <c r="AZ14" s="2">
        <v>1.0155506012667001E-3</v>
      </c>
      <c r="BA14" s="2">
        <v>5.7478200402354398E-3</v>
      </c>
      <c r="BB14" s="3">
        <v>7.7486170869244496E-3</v>
      </c>
      <c r="BC14" s="3">
        <v>7.6369207976798004E-4</v>
      </c>
      <c r="BD14" s="3">
        <v>5.3814495705578602E-4</v>
      </c>
      <c r="BE14" s="3">
        <v>9.9672470951418096E-4</v>
      </c>
      <c r="BF14" s="3">
        <v>0</v>
      </c>
      <c r="BG14" s="3">
        <v>1.7713400936982401E-3</v>
      </c>
      <c r="BH14" s="3">
        <v>2.89658293731614E-3</v>
      </c>
      <c r="BI14">
        <v>2.8060647205250099E-3</v>
      </c>
      <c r="BJ14" s="8">
        <v>0.99515217503870501</v>
      </c>
      <c r="BK14" s="13">
        <v>12801</v>
      </c>
      <c r="BL14" s="3">
        <v>3.3591125693305198E-3</v>
      </c>
      <c r="BM14" s="3">
        <v>1.8330953120149001E-3</v>
      </c>
      <c r="BN14" s="13">
        <v>2.3062260760878099E-3</v>
      </c>
      <c r="BO14" s="13">
        <v>46.482712438980002</v>
      </c>
      <c r="BP14" s="13">
        <v>46.482712438980002</v>
      </c>
      <c r="BQ14" s="10">
        <v>22.480586643681701</v>
      </c>
      <c r="BR14" s="10">
        <v>0.67401893654516398</v>
      </c>
      <c r="BS14" s="10">
        <v>0.67401893654516398</v>
      </c>
      <c r="BT14" s="10">
        <v>0.32598106345483602</v>
      </c>
      <c r="BU14" s="10">
        <v>0.37650653829768099</v>
      </c>
      <c r="BV14">
        <v>0.113424109687944</v>
      </c>
      <c r="BW14">
        <v>42.998282646938399</v>
      </c>
      <c r="BX14">
        <v>9.8647803668632701</v>
      </c>
      <c r="BY14">
        <v>0.80013124281734305</v>
      </c>
      <c r="BZ14">
        <v>5.4988291489690196E-3</v>
      </c>
      <c r="CA14">
        <v>0.9</v>
      </c>
      <c r="CB14">
        <v>17.326203208556102</v>
      </c>
    </row>
    <row r="15" spans="1:80" x14ac:dyDescent="0.2">
      <c r="A15" t="s">
        <v>128</v>
      </c>
      <c r="B15">
        <v>10.763182452272099</v>
      </c>
      <c r="C15">
        <v>5.81762016549522</v>
      </c>
      <c r="D15">
        <v>0</v>
      </c>
      <c r="E15">
        <v>16.580802617767301</v>
      </c>
      <c r="F15">
        <v>15.400045645561899</v>
      </c>
      <c r="G15">
        <v>17.770208140066199</v>
      </c>
      <c r="H15">
        <v>4.6999373304449197</v>
      </c>
      <c r="I15">
        <v>6.9374795247049903</v>
      </c>
      <c r="J15">
        <v>2.4024363419356498</v>
      </c>
      <c r="K15">
        <v>1.7641754784489001</v>
      </c>
      <c r="L15">
        <v>3.27111180894642</v>
      </c>
      <c r="M15">
        <v>0</v>
      </c>
      <c r="N15">
        <v>1.3191311322984201</v>
      </c>
      <c r="O15">
        <v>20.3023700920014</v>
      </c>
      <c r="P15">
        <v>18.7093895145651</v>
      </c>
      <c r="Q15">
        <v>22.094417567897199</v>
      </c>
      <c r="R15">
        <v>1000</v>
      </c>
      <c r="S15" s="10">
        <v>7.1662605006764094E-2</v>
      </c>
      <c r="T15" s="6">
        <v>8.3545392399999994</v>
      </c>
      <c r="U15" s="6">
        <v>62.655000000000001</v>
      </c>
      <c r="V15" s="4">
        <v>350.73926764171102</v>
      </c>
      <c r="W15" s="8">
        <v>9185</v>
      </c>
      <c r="X15" s="8">
        <v>32340</v>
      </c>
      <c r="Y15" s="9">
        <v>1.70994738414317</v>
      </c>
      <c r="Z15" s="8">
        <v>56</v>
      </c>
      <c r="AA15" s="8">
        <v>38.831000000000003</v>
      </c>
      <c r="AB15" s="8">
        <v>42</v>
      </c>
      <c r="AC15">
        <v>24.928999999999998</v>
      </c>
      <c r="AD15">
        <v>52</v>
      </c>
      <c r="AE15">
        <v>25</v>
      </c>
      <c r="AF15">
        <v>12.0823135845705</v>
      </c>
      <c r="AG15" t="s">
        <v>43</v>
      </c>
      <c r="AH15" t="s">
        <v>43</v>
      </c>
      <c r="AI15" s="12" t="s">
        <v>162</v>
      </c>
      <c r="AJ15" s="4">
        <v>18912</v>
      </c>
      <c r="AK15" s="6">
        <v>3.5211320052131798</v>
      </c>
      <c r="AL15" s="12">
        <v>0.53291610689503099</v>
      </c>
      <c r="AM15" s="2">
        <v>3.8190156470161003E-2</v>
      </c>
      <c r="AN15">
        <v>2.2661705488236099E-3</v>
      </c>
      <c r="AO15" s="16">
        <v>0.81981665905826195</v>
      </c>
      <c r="AP15">
        <v>0.18018334094173799</v>
      </c>
      <c r="AQ15" s="3">
        <v>0</v>
      </c>
      <c r="AR15" s="3">
        <v>3.0687132708696101E-2</v>
      </c>
      <c r="AS15" s="2">
        <v>1.6586737506215199E-2</v>
      </c>
      <c r="AT15" s="2">
        <v>1.0607093300401301E-2</v>
      </c>
      <c r="AU15" s="2">
        <v>2.2578026196198302E-2</v>
      </c>
      <c r="AV15" s="2">
        <v>0</v>
      </c>
      <c r="AW15" s="2">
        <v>4.72738702149113E-2</v>
      </c>
      <c r="AX15" s="3">
        <v>5.78845084227659E-2</v>
      </c>
      <c r="AY15" s="3">
        <v>-4.5417799613574903E-3</v>
      </c>
      <c r="AZ15" s="2">
        <v>5.10934372402922E-3</v>
      </c>
      <c r="BA15" s="2">
        <v>5.3342728461408397E-2</v>
      </c>
      <c r="BB15" s="3">
        <v>6.2993852146795107E-2</v>
      </c>
      <c r="BC15" s="3">
        <v>6.8496360789285903E-3</v>
      </c>
      <c r="BD15" s="3">
        <v>5.0298772940674903E-3</v>
      </c>
      <c r="BE15" s="3">
        <v>9.3263347184950503E-3</v>
      </c>
      <c r="BF15" s="3">
        <v>0</v>
      </c>
      <c r="BG15" s="3">
        <v>3.7610021289259899E-3</v>
      </c>
      <c r="BH15" s="3">
        <v>2.9610829103214899E-3</v>
      </c>
      <c r="BI15">
        <v>2.0532466159052499E-3</v>
      </c>
      <c r="BJ15" s="8">
        <v>0.91078967676981004</v>
      </c>
      <c r="BK15" s="13">
        <v>5371</v>
      </c>
      <c r="BL15" s="3">
        <v>7.8197728542170903E-3</v>
      </c>
      <c r="BM15" s="3">
        <v>2.7140990745781199E-3</v>
      </c>
      <c r="BN15" s="13">
        <v>4.6414075591137598E-3</v>
      </c>
      <c r="BO15" s="13">
        <v>8.2200565074308702</v>
      </c>
      <c r="BP15" s="13">
        <v>8.2200565074308702</v>
      </c>
      <c r="BQ15" s="10">
        <v>12.0823135845705</v>
      </c>
      <c r="BR15" s="10">
        <v>0.40487752681775402</v>
      </c>
      <c r="BS15" s="10">
        <v>0.40487752681775402</v>
      </c>
      <c r="BT15" s="10">
        <v>0.59512247318224598</v>
      </c>
      <c r="BU15" s="10">
        <v>0.18330541460796199</v>
      </c>
      <c r="BV15">
        <v>0.11833045972336501</v>
      </c>
      <c r="BW15">
        <v>16.580802617767301</v>
      </c>
      <c r="BX15">
        <v>1.4030873608002701</v>
      </c>
      <c r="BY15">
        <v>6.5302414381253296E-2</v>
      </c>
      <c r="BZ15">
        <v>2.4005541504687099E-2</v>
      </c>
      <c r="CA15">
        <v>0.9</v>
      </c>
      <c r="CB15">
        <v>17.326203208556102</v>
      </c>
    </row>
    <row r="16" spans="1:80" x14ac:dyDescent="0.2">
      <c r="A16" t="s">
        <v>141</v>
      </c>
      <c r="B16">
        <v>5.28133682249912</v>
      </c>
      <c r="C16">
        <v>15.076110247739001</v>
      </c>
      <c r="D16">
        <v>0.78001056767654897</v>
      </c>
      <c r="E16">
        <v>21.1374576379147</v>
      </c>
      <c r="F16">
        <v>19.02671433351</v>
      </c>
      <c r="G16">
        <v>23.482454768989999</v>
      </c>
      <c r="H16">
        <v>13.019119710781</v>
      </c>
      <c r="I16">
        <v>17.415016075973501</v>
      </c>
      <c r="J16">
        <v>2.5520817253536801</v>
      </c>
      <c r="K16">
        <v>2.0924188913764401</v>
      </c>
      <c r="L16">
        <v>3.03312833736911</v>
      </c>
      <c r="M16">
        <v>5.4774278204106297</v>
      </c>
      <c r="N16">
        <v>2.18648804612952</v>
      </c>
      <c r="O16">
        <v>31.3534552298085</v>
      </c>
      <c r="P16">
        <v>28.1854194458904</v>
      </c>
      <c r="Q16">
        <v>34.611965128417999</v>
      </c>
      <c r="R16">
        <v>1000</v>
      </c>
      <c r="S16" s="10">
        <v>6.2481810325918298E-2</v>
      </c>
      <c r="T16">
        <v>10.8892576122736</v>
      </c>
      <c r="U16" s="6">
        <v>60.823999999999998</v>
      </c>
      <c r="V16">
        <v>636.66734652673802</v>
      </c>
      <c r="W16">
        <v>7474</v>
      </c>
      <c r="X16">
        <v>12982</v>
      </c>
      <c r="Y16">
        <v>1.62246508803886</v>
      </c>
      <c r="Z16">
        <v>80</v>
      </c>
      <c r="AA16">
        <v>79.974999999999994</v>
      </c>
      <c r="AB16">
        <v>49</v>
      </c>
      <c r="AC16">
        <v>40.026000000000003</v>
      </c>
      <c r="AD16">
        <v>49</v>
      </c>
      <c r="AE16">
        <v>23</v>
      </c>
      <c r="AF16">
        <v>7.4678248686286501</v>
      </c>
      <c r="AG16" t="s">
        <v>43</v>
      </c>
      <c r="AH16" t="s">
        <v>43</v>
      </c>
      <c r="AI16" s="12" t="s">
        <v>162</v>
      </c>
      <c r="AJ16" s="4">
        <v>8001</v>
      </c>
      <c r="AK16" s="6">
        <v>1.7370820668692999</v>
      </c>
      <c r="AL16" s="12">
        <v>0.75873449917936997</v>
      </c>
      <c r="AM16" s="2">
        <v>4.7407105065456E-2</v>
      </c>
      <c r="AN16">
        <v>1.9758483296052902E-3</v>
      </c>
      <c r="AO16">
        <v>0.14073287417354699</v>
      </c>
      <c r="AP16">
        <v>0.84575666962699003</v>
      </c>
      <c r="AQ16" s="3">
        <v>1.35104561994624E-2</v>
      </c>
      <c r="AR16" s="3">
        <v>8.2952845804183592E-3</v>
      </c>
      <c r="AS16" s="2">
        <v>2.36797290295865E-2</v>
      </c>
      <c r="AT16" s="2">
        <v>1.94214914743287E-2</v>
      </c>
      <c r="AU16" s="2">
        <v>2.8521567850453799E-2</v>
      </c>
      <c r="AV16" s="2">
        <v>1.22514618023337E-3</v>
      </c>
      <c r="AW16" s="2">
        <v>3.3200159790238201E-2</v>
      </c>
      <c r="AX16" s="3">
        <v>4.9246212171636397E-2</v>
      </c>
      <c r="AY16" s="3">
        <v>-4.9759671219216399E-3</v>
      </c>
      <c r="AZ16" s="2">
        <v>5.1180729094807299E-3</v>
      </c>
      <c r="BA16" s="2">
        <v>4.4270245049714801E-2</v>
      </c>
      <c r="BB16" s="3">
        <v>5.4364285081117097E-2</v>
      </c>
      <c r="BC16" s="3">
        <v>4.00850104733069E-3</v>
      </c>
      <c r="BD16" s="3">
        <v>3.2865183094301599E-3</v>
      </c>
      <c r="BE16" s="3">
        <v>4.7640708352893902E-3</v>
      </c>
      <c r="BF16" s="3">
        <v>8.6763564237199008E-3</v>
      </c>
      <c r="BG16" s="3">
        <v>3.4342707507423499E-3</v>
      </c>
      <c r="BH16" s="3">
        <v>9.9987501562304702E-3</v>
      </c>
      <c r="BI16">
        <v>9.9956255468066496E-3</v>
      </c>
      <c r="BJ16" s="8">
        <v>0.96417231254366698</v>
      </c>
      <c r="BK16" s="13">
        <v>4606</v>
      </c>
      <c r="BL16" s="3">
        <v>1.0638297872340399E-2</v>
      </c>
      <c r="BM16" s="3">
        <v>5.3553652662563598E-3</v>
      </c>
      <c r="BN16" s="13">
        <v>8.6899696048632208E-3</v>
      </c>
      <c r="BO16" s="13">
        <v>17.628191973092701</v>
      </c>
      <c r="BP16" s="13">
        <v>23.105619793503301</v>
      </c>
      <c r="BQ16" s="10">
        <v>7.4678248686286501</v>
      </c>
      <c r="BR16" s="10">
        <v>0.56223973400606297</v>
      </c>
      <c r="BS16" s="10">
        <v>0.73693823192100505</v>
      </c>
      <c r="BT16" s="10">
        <v>0.23818415835805301</v>
      </c>
      <c r="BU16" s="10">
        <v>0.325834026997812</v>
      </c>
      <c r="BV16">
        <v>8.1397953325714201E-2</v>
      </c>
      <c r="BW16">
        <v>21.1374576379147</v>
      </c>
      <c r="BX16">
        <v>3.85891115761269</v>
      </c>
      <c r="BY16">
        <v>0.13822565057028599</v>
      </c>
      <c r="BZ16">
        <v>1.06611193281389E-2</v>
      </c>
      <c r="CA16">
        <v>0.9</v>
      </c>
      <c r="CB16">
        <v>17.326203208556102</v>
      </c>
    </row>
    <row r="17" spans="1:80" x14ac:dyDescent="0.2">
      <c r="A17" t="s">
        <v>142</v>
      </c>
      <c r="B17">
        <v>8.7416905359348203</v>
      </c>
      <c r="C17">
        <v>104.456576079417</v>
      </c>
      <c r="D17">
        <v>0</v>
      </c>
      <c r="E17">
        <v>113.198266615352</v>
      </c>
      <c r="F17">
        <v>108.318638552791</v>
      </c>
      <c r="G17">
        <v>118.664950932824</v>
      </c>
      <c r="H17">
        <v>99.609614368359601</v>
      </c>
      <c r="I17">
        <v>109.90662446123</v>
      </c>
      <c r="J17">
        <v>75.444601209998396</v>
      </c>
      <c r="K17">
        <v>69.037753298970102</v>
      </c>
      <c r="L17">
        <v>83.752856130016298</v>
      </c>
      <c r="M17">
        <v>0</v>
      </c>
      <c r="N17">
        <v>17.294910308613101</v>
      </c>
      <c r="O17">
        <v>205.937778133964</v>
      </c>
      <c r="P17">
        <v>194.73885885709001</v>
      </c>
      <c r="Q17">
        <v>218.47259991010901</v>
      </c>
      <c r="R17">
        <v>1000</v>
      </c>
      <c r="S17" s="10">
        <v>6.8402862859981498E-2</v>
      </c>
      <c r="T17" s="6">
        <v>16.353133799999998</v>
      </c>
      <c r="U17" s="6">
        <v>38.795999999999999</v>
      </c>
      <c r="V17" s="4">
        <v>4755.8021327807501</v>
      </c>
      <c r="W17" s="8">
        <v>17164</v>
      </c>
      <c r="X17" s="8">
        <v>152653</v>
      </c>
      <c r="Y17" s="9">
        <v>1.82507693639206</v>
      </c>
      <c r="Z17" s="8">
        <v>1052</v>
      </c>
      <c r="AA17" s="8">
        <v>1016.998</v>
      </c>
      <c r="AB17" s="8">
        <v>540</v>
      </c>
      <c r="AC17">
        <v>166.886</v>
      </c>
      <c r="AD17">
        <v>681</v>
      </c>
      <c r="AE17">
        <v>278</v>
      </c>
      <c r="AF17">
        <v>26.036600844548001</v>
      </c>
      <c r="AG17" t="s">
        <v>43</v>
      </c>
      <c r="AH17" t="s">
        <v>43</v>
      </c>
      <c r="AI17" s="12" t="s">
        <v>162</v>
      </c>
      <c r="AJ17" s="4">
        <v>83641</v>
      </c>
      <c r="AK17" s="6">
        <v>8.8941939600170201</v>
      </c>
      <c r="AL17" s="12">
        <v>0.33531015156350102</v>
      </c>
      <c r="AM17" s="2">
        <v>2.2936174312957799E-2</v>
      </c>
      <c r="AN17">
        <v>2.1630884511368098E-3</v>
      </c>
      <c r="AO17">
        <v>5.7115003241524798E-2</v>
      </c>
      <c r="AP17">
        <v>0.94288499675847603</v>
      </c>
      <c r="AQ17" s="3">
        <v>0</v>
      </c>
      <c r="AR17" s="3">
        <v>1.8381106471356699E-3</v>
      </c>
      <c r="AS17" s="2">
        <v>2.1964029024550899E-2</v>
      </c>
      <c r="AT17" s="2">
        <v>1.89245502865087E-2</v>
      </c>
      <c r="AU17" s="2">
        <v>2.5381697074213599E-2</v>
      </c>
      <c r="AV17" s="2">
        <v>0</v>
      </c>
      <c r="AW17" s="2">
        <v>2.3802139671686501E-2</v>
      </c>
      <c r="AX17" s="3">
        <v>4.3302427726014399E-2</v>
      </c>
      <c r="AY17" s="3">
        <v>-2.3547908353212699E-3</v>
      </c>
      <c r="AZ17" s="2">
        <v>2.6356903475327101E-3</v>
      </c>
      <c r="BA17" s="2">
        <v>4.0947636890693202E-2</v>
      </c>
      <c r="BB17" s="3">
        <v>4.5938118073547203E-2</v>
      </c>
      <c r="BC17" s="3">
        <v>1.5863696407799301E-2</v>
      </c>
      <c r="BD17" s="3">
        <v>1.45165318849385E-2</v>
      </c>
      <c r="BE17" s="3">
        <v>1.7610668777139699E-2</v>
      </c>
      <c r="BF17" s="3">
        <v>0</v>
      </c>
      <c r="BG17" s="3">
        <v>3.6365916465285501E-3</v>
      </c>
      <c r="BH17" s="3">
        <v>1.2577563635059401E-2</v>
      </c>
      <c r="BI17">
        <v>1.2159084659437399E-2</v>
      </c>
      <c r="BJ17" s="8">
        <v>0.78895671985974103</v>
      </c>
      <c r="BK17" s="13">
        <v>9404</v>
      </c>
      <c r="BL17" s="3">
        <v>5.7422373458102902E-2</v>
      </c>
      <c r="BM17" s="3">
        <v>9.7230249359123808E-3</v>
      </c>
      <c r="BN17" s="13">
        <v>1.7746278179498101E-2</v>
      </c>
      <c r="BO17" s="13">
        <v>179.90117728941601</v>
      </c>
      <c r="BP17" s="13">
        <v>179.90117728941601</v>
      </c>
      <c r="BQ17" s="10">
        <v>26.036600844548001</v>
      </c>
      <c r="BR17" s="10">
        <v>0.87357016628374395</v>
      </c>
      <c r="BS17" s="10">
        <v>0.87357016628374395</v>
      </c>
      <c r="BT17" s="10">
        <v>0.12642983371625599</v>
      </c>
      <c r="BU17" s="10">
        <v>0.45032720818938599</v>
      </c>
      <c r="BV17">
        <v>0.36634566911057997</v>
      </c>
      <c r="BW17">
        <v>113.198266615352</v>
      </c>
      <c r="BX17">
        <v>10.216399100541601</v>
      </c>
      <c r="BY17">
        <v>0.50572119659514603</v>
      </c>
      <c r="BZ17">
        <v>1.14918517480515E-2</v>
      </c>
      <c r="CA17">
        <v>0.9</v>
      </c>
      <c r="CB17">
        <v>17.326203208556102</v>
      </c>
    </row>
    <row r="18" spans="1:80" x14ac:dyDescent="0.2">
      <c r="A18" t="s">
        <v>143</v>
      </c>
      <c r="B18">
        <v>3.7826243360015899</v>
      </c>
      <c r="C18">
        <v>58.048347333850501</v>
      </c>
      <c r="D18">
        <v>0</v>
      </c>
      <c r="E18">
        <v>61.830971669852097</v>
      </c>
      <c r="F18">
        <v>58.488385841918699</v>
      </c>
      <c r="G18">
        <v>65.757145907462899</v>
      </c>
      <c r="H18">
        <v>54.711397875514798</v>
      </c>
      <c r="I18">
        <v>61.986900085181198</v>
      </c>
      <c r="J18">
        <v>37.038899254020002</v>
      </c>
      <c r="K18">
        <v>33.806221882451702</v>
      </c>
      <c r="L18">
        <v>41.3981659754443</v>
      </c>
      <c r="M18">
        <v>0</v>
      </c>
      <c r="N18">
        <v>13.139792955001001</v>
      </c>
      <c r="O18">
        <v>112.009663878873</v>
      </c>
      <c r="P18">
        <v>105.05708411940201</v>
      </c>
      <c r="Q18">
        <v>120.04617626930499</v>
      </c>
      <c r="R18">
        <v>1000</v>
      </c>
      <c r="S18" s="10">
        <v>8.5114499544129002E-2</v>
      </c>
      <c r="T18">
        <v>16.353133799999998</v>
      </c>
      <c r="U18" s="6">
        <v>29.797999999999998</v>
      </c>
      <c r="V18">
        <v>3613.2165038502699</v>
      </c>
      <c r="W18">
        <v>7955</v>
      </c>
      <c r="X18">
        <v>100870</v>
      </c>
      <c r="Y18">
        <v>1.82507693639206</v>
      </c>
      <c r="Z18">
        <v>922</v>
      </c>
      <c r="AA18">
        <v>895.77200000000005</v>
      </c>
      <c r="AB18">
        <v>447</v>
      </c>
      <c r="AC18">
        <v>117.738</v>
      </c>
      <c r="AD18">
        <v>558</v>
      </c>
      <c r="AE18">
        <v>202</v>
      </c>
      <c r="AF18">
        <v>16.922417291002599</v>
      </c>
      <c r="AG18" t="s">
        <v>43</v>
      </c>
      <c r="AH18" t="s">
        <v>43</v>
      </c>
      <c r="AI18" s="12" t="s">
        <v>162</v>
      </c>
      <c r="AJ18" s="4">
        <v>55268</v>
      </c>
      <c r="AK18" s="6">
        <v>12.681964203763201</v>
      </c>
      <c r="AL18" s="12">
        <v>0.28080622975595598</v>
      </c>
      <c r="AM18" s="2">
        <v>2.39006817145519E-2</v>
      </c>
      <c r="AN18">
        <v>2.6915568046481102E-3</v>
      </c>
      <c r="AO18">
        <v>7.3585879171403801E-2</v>
      </c>
      <c r="AP18">
        <v>0.92641412082859598</v>
      </c>
      <c r="AQ18" s="3">
        <v>0</v>
      </c>
      <c r="AR18" s="3">
        <v>1.04688560233543E-3</v>
      </c>
      <c r="AS18" s="2">
        <v>1.60655602209261E-2</v>
      </c>
      <c r="AT18" s="2">
        <v>1.27766735776241E-2</v>
      </c>
      <c r="AU18" s="2">
        <v>1.9947385133027899E-2</v>
      </c>
      <c r="AV18" s="2">
        <v>0</v>
      </c>
      <c r="AW18" s="2">
        <v>1.7112445823261501E-2</v>
      </c>
      <c r="AX18" s="3">
        <v>3.0999986787261399E-2</v>
      </c>
      <c r="AY18" s="3">
        <v>-1.92420790507918E-3</v>
      </c>
      <c r="AZ18" s="2">
        <v>2.2241989600867498E-3</v>
      </c>
      <c r="BA18" s="2">
        <v>2.9075778882182199E-2</v>
      </c>
      <c r="BB18" s="3">
        <v>3.3224185747348103E-2</v>
      </c>
      <c r="BC18" s="3">
        <v>1.02509493174713E-2</v>
      </c>
      <c r="BD18" s="3">
        <v>9.3562679807389307E-3</v>
      </c>
      <c r="BE18" s="3">
        <v>1.1457427455933001E-2</v>
      </c>
      <c r="BF18" s="3">
        <v>0</v>
      </c>
      <c r="BG18" s="3">
        <v>3.6365916465285501E-3</v>
      </c>
      <c r="BH18" s="3">
        <v>1.6682347832380401E-2</v>
      </c>
      <c r="BI18">
        <v>1.6207787508142099E-2</v>
      </c>
      <c r="BJ18" s="8">
        <v>0.73570085971437704</v>
      </c>
      <c r="BK18" s="13">
        <v>4358</v>
      </c>
      <c r="BL18" s="3">
        <v>0.102569986232217</v>
      </c>
      <c r="BM18" s="3">
        <v>1.4800502828409799E-2</v>
      </c>
      <c r="BN18" s="13">
        <v>2.7016521340064301E-2</v>
      </c>
      <c r="BO18" s="13">
        <v>95.087246587870496</v>
      </c>
      <c r="BP18" s="13">
        <v>95.087246587870496</v>
      </c>
      <c r="BQ18" s="10">
        <v>16.922417291002599</v>
      </c>
      <c r="BR18" s="10">
        <v>0.84891885792201005</v>
      </c>
      <c r="BS18" s="10">
        <v>0.84891885792201005</v>
      </c>
      <c r="BT18" s="10">
        <v>0.15108114207799</v>
      </c>
      <c r="BU18" s="10">
        <v>0.44798404575468698</v>
      </c>
      <c r="BV18">
        <v>0.33067377663748199</v>
      </c>
      <c r="BW18">
        <v>61.830971669852097</v>
      </c>
      <c r="BX18">
        <v>12.0260236862998</v>
      </c>
      <c r="BY18">
        <v>0.82909970258152099</v>
      </c>
      <c r="BZ18">
        <v>1.14918517480515E-2</v>
      </c>
      <c r="CA18">
        <v>0.9</v>
      </c>
      <c r="CB18">
        <v>17.326203208556102</v>
      </c>
    </row>
    <row r="19" spans="1:80" x14ac:dyDescent="0.2">
      <c r="A19" t="s">
        <v>144</v>
      </c>
      <c r="B19">
        <v>5.3619661159513896</v>
      </c>
      <c r="C19">
        <v>46.406140035239098</v>
      </c>
      <c r="D19">
        <v>0</v>
      </c>
      <c r="E19">
        <v>51.768106151190501</v>
      </c>
      <c r="F19">
        <v>48.202185665259599</v>
      </c>
      <c r="G19">
        <v>55.617384266031301</v>
      </c>
      <c r="H19">
        <v>42.861121244236699</v>
      </c>
      <c r="I19">
        <v>50.256838958844398</v>
      </c>
      <c r="J19">
        <v>38.150318837955403</v>
      </c>
      <c r="K19">
        <v>31.574954980382302</v>
      </c>
      <c r="L19">
        <v>47.261770732851403</v>
      </c>
      <c r="M19">
        <v>0</v>
      </c>
      <c r="N19">
        <v>4.1551173562375103</v>
      </c>
      <c r="O19">
        <v>94.073542345383402</v>
      </c>
      <c r="P19">
        <v>85.292906899618799</v>
      </c>
      <c r="Q19">
        <v>104.549240342933</v>
      </c>
      <c r="R19">
        <v>1000</v>
      </c>
      <c r="S19" s="10">
        <v>0.116882366635359</v>
      </c>
      <c r="T19">
        <v>16.353133799999998</v>
      </c>
      <c r="U19" s="6">
        <v>97.623999999999995</v>
      </c>
      <c r="V19">
        <v>1142.58562965241</v>
      </c>
      <c r="W19" s="11">
        <v>9209</v>
      </c>
      <c r="X19" s="11">
        <v>51783</v>
      </c>
      <c r="Y19">
        <v>1.82507693639206</v>
      </c>
      <c r="Z19">
        <v>130</v>
      </c>
      <c r="AA19">
        <v>125.318</v>
      </c>
      <c r="AB19">
        <v>93</v>
      </c>
      <c r="AC19">
        <v>49.036000000000001</v>
      </c>
      <c r="AD19">
        <v>123</v>
      </c>
      <c r="AE19">
        <v>76</v>
      </c>
      <c r="AF19">
        <v>9.5170834721889008</v>
      </c>
      <c r="AG19" t="s">
        <v>43</v>
      </c>
      <c r="AH19" t="s">
        <v>43</v>
      </c>
      <c r="AI19" s="12" t="s">
        <v>162</v>
      </c>
      <c r="AJ19" s="4">
        <v>28373</v>
      </c>
      <c r="AK19" s="6">
        <v>5.6239841427155604</v>
      </c>
      <c r="AL19" s="12">
        <v>0.42167509967254901</v>
      </c>
      <c r="AM19" s="2">
        <v>4.9286383600928602E-2</v>
      </c>
      <c r="AN19">
        <v>3.6961449687860702E-3</v>
      </c>
      <c r="AO19">
        <v>4.7853498547469599E-2</v>
      </c>
      <c r="AP19">
        <v>0.95214650145253199</v>
      </c>
      <c r="AQ19" s="3">
        <v>0</v>
      </c>
      <c r="AR19" s="3">
        <v>4.6928352473526204E-3</v>
      </c>
      <c r="AS19" s="2">
        <v>4.0615021606176298E-2</v>
      </c>
      <c r="AT19" s="2">
        <v>3.3257156395309899E-2</v>
      </c>
      <c r="AU19" s="2">
        <v>4.8607341342090903E-2</v>
      </c>
      <c r="AV19" s="2">
        <v>0</v>
      </c>
      <c r="AW19" s="2">
        <v>4.5307856853528901E-2</v>
      </c>
      <c r="AX19" s="3">
        <v>8.2333909952991599E-2</v>
      </c>
      <c r="AY19" s="3">
        <v>-7.6848817435555203E-3</v>
      </c>
      <c r="AZ19" s="2">
        <v>9.16841392512204E-3</v>
      </c>
      <c r="BA19" s="2">
        <v>7.46490282094361E-2</v>
      </c>
      <c r="BB19" s="3">
        <v>9.1502323878113606E-2</v>
      </c>
      <c r="BC19" s="3">
        <v>3.3389461452934102E-2</v>
      </c>
      <c r="BD19" s="3">
        <v>2.76346508838799E-2</v>
      </c>
      <c r="BE19" s="3">
        <v>4.1363876375050498E-2</v>
      </c>
      <c r="BF19" s="3">
        <v>0</v>
      </c>
      <c r="BG19" s="3">
        <v>3.6365916465285501E-3</v>
      </c>
      <c r="BH19" s="3">
        <v>4.5818207450745397E-3</v>
      </c>
      <c r="BI19">
        <v>4.4168047087019399E-3</v>
      </c>
      <c r="BJ19" s="8">
        <v>0.89893134645830997</v>
      </c>
      <c r="BK19" s="13">
        <v>5045</v>
      </c>
      <c r="BL19" s="3">
        <v>1.8434093161546102E-2</v>
      </c>
      <c r="BM19" s="3">
        <v>5.3247909653599702E-3</v>
      </c>
      <c r="BN19" s="13">
        <v>9.7197224975222995E-3</v>
      </c>
      <c r="BO19" s="13">
        <v>84.556458873194501</v>
      </c>
      <c r="BP19" s="13">
        <v>84.556458873194501</v>
      </c>
      <c r="BQ19" s="10">
        <v>9.5170834721889008</v>
      </c>
      <c r="BR19" s="10">
        <v>0.89883181721295902</v>
      </c>
      <c r="BS19" s="10">
        <v>0.89883181721295902</v>
      </c>
      <c r="BT19" s="10">
        <v>0.101168182787041</v>
      </c>
      <c r="BU19" s="10">
        <v>0.44969984801010998</v>
      </c>
      <c r="BV19">
        <v>0.40553032910242198</v>
      </c>
      <c r="BW19">
        <v>51.768106151190501</v>
      </c>
      <c r="BX19">
        <v>8.67917857314972</v>
      </c>
      <c r="BY19">
        <v>0.22647881658124999</v>
      </c>
      <c r="BZ19">
        <v>1.14918517480515E-2</v>
      </c>
      <c r="CA19">
        <v>0.9</v>
      </c>
      <c r="CB19">
        <v>17.326203208556102</v>
      </c>
    </row>
    <row r="20" spans="1:80" x14ac:dyDescent="0.2">
      <c r="S20" s="10"/>
      <c r="U20" s="6"/>
      <c r="AI20" s="12"/>
      <c r="AJ20" s="4"/>
      <c r="AK20" s="6"/>
      <c r="AL20" s="12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8"/>
      <c r="BK20" s="13"/>
      <c r="BL20" s="3"/>
      <c r="BM20" s="3"/>
      <c r="BN20" s="13"/>
      <c r="BO20" s="13"/>
      <c r="BP20" s="13"/>
      <c r="BQ20" s="10"/>
      <c r="BR20" s="10"/>
      <c r="BS20" s="10"/>
      <c r="BT20" s="10"/>
      <c r="BU20" s="10"/>
    </row>
    <row r="21" spans="1:80" x14ac:dyDescent="0.2">
      <c r="U21" s="4"/>
      <c r="V21" s="8"/>
      <c r="AI21" s="12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8"/>
      <c r="BK21" s="3"/>
      <c r="BL21" s="3"/>
      <c r="BM21" s="3"/>
    </row>
    <row r="22" spans="1:80" x14ac:dyDescent="0.2">
      <c r="V22" s="11"/>
      <c r="W22" s="11"/>
      <c r="X22" s="11"/>
      <c r="AC22" s="11"/>
      <c r="AD22" s="11"/>
      <c r="AE22" s="11"/>
      <c r="AI22" s="12"/>
      <c r="AJ22" s="11"/>
      <c r="BJ22" s="11"/>
      <c r="BM22" s="3"/>
      <c r="BN22" s="3"/>
      <c r="BO22" s="13"/>
      <c r="BP22" s="13"/>
      <c r="BQ22" s="13"/>
      <c r="BR22" s="13"/>
      <c r="BS22" s="13"/>
      <c r="BT22" s="13"/>
      <c r="BU22" s="13"/>
    </row>
    <row r="23" spans="1:80" x14ac:dyDescent="0.2">
      <c r="AI23" s="12"/>
      <c r="AJ23" s="4"/>
      <c r="BJ23" s="11"/>
      <c r="BM23" s="3"/>
      <c r="BN23" s="3"/>
      <c r="BO23" s="13"/>
      <c r="BP23" s="13"/>
      <c r="BQ23" s="13"/>
      <c r="BR23" s="13"/>
      <c r="BS23" s="13"/>
      <c r="BT23" s="13"/>
      <c r="BU23" s="13"/>
    </row>
    <row r="24" spans="1:80" x14ac:dyDescent="0.2">
      <c r="U24" t="s">
        <v>121</v>
      </c>
      <c r="V24" s="15">
        <f>V22/V25</f>
        <v>0</v>
      </c>
      <c r="BO24" s="14"/>
      <c r="BP24" s="14"/>
      <c r="BQ24" s="14"/>
      <c r="BR24" s="14"/>
      <c r="BS24" s="14"/>
      <c r="BT24" s="14"/>
      <c r="BU24" s="14"/>
    </row>
    <row r="25" spans="1:80" x14ac:dyDescent="0.2">
      <c r="U25" t="s">
        <v>122</v>
      </c>
      <c r="V25">
        <v>85276.604788356199</v>
      </c>
      <c r="BO25" s="14"/>
      <c r="BP25" s="14"/>
      <c r="BQ25" s="14"/>
      <c r="BR25" s="14"/>
      <c r="BS25" s="14"/>
      <c r="BT25" s="14"/>
      <c r="BU25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9B0C-2DA0-CB40-978B-5F82CF6A1991}">
  <dimension ref="A1:V22"/>
  <sheetViews>
    <sheetView workbookViewId="0">
      <selection activeCell="N12" sqref="N12"/>
    </sheetView>
  </sheetViews>
  <sheetFormatPr baseColWidth="10" defaultRowHeight="16" x14ac:dyDescent="0.2"/>
  <sheetData>
    <row r="1" spans="1:22" x14ac:dyDescent="0.2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</row>
    <row r="2" spans="1:22" x14ac:dyDescent="0.2">
      <c r="A2" t="s">
        <v>1</v>
      </c>
    </row>
    <row r="3" spans="1:22" x14ac:dyDescent="0.2">
      <c r="A3" t="s">
        <v>2</v>
      </c>
      <c r="B3">
        <v>236.5</v>
      </c>
      <c r="C3">
        <v>214.5</v>
      </c>
      <c r="D3">
        <v>259.3</v>
      </c>
      <c r="E3">
        <v>213</v>
      </c>
      <c r="F3">
        <v>185.5</v>
      </c>
      <c r="G3">
        <v>240.7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  <c r="Q3" t="s">
        <v>83</v>
      </c>
      <c r="R3" t="s">
        <v>83</v>
      </c>
      <c r="S3" t="s">
        <v>83</v>
      </c>
      <c r="T3">
        <v>11.62</v>
      </c>
      <c r="U3">
        <v>4.9850000000000003</v>
      </c>
      <c r="V3">
        <v>36.32</v>
      </c>
    </row>
    <row r="4" spans="1:22" x14ac:dyDescent="0.2">
      <c r="A4" t="s">
        <v>27</v>
      </c>
      <c r="B4">
        <v>35.35</v>
      </c>
      <c r="C4">
        <v>30.16</v>
      </c>
      <c r="D4">
        <v>40.03</v>
      </c>
      <c r="E4">
        <v>59.84</v>
      </c>
      <c r="F4">
        <v>49.39</v>
      </c>
      <c r="G4">
        <v>70.64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2" x14ac:dyDescent="0.2">
      <c r="A5" t="s">
        <v>3</v>
      </c>
      <c r="B5">
        <v>37.68</v>
      </c>
      <c r="C5">
        <v>31.59</v>
      </c>
      <c r="D5">
        <v>47.86</v>
      </c>
      <c r="E5">
        <v>45</v>
      </c>
      <c r="F5">
        <v>35.79</v>
      </c>
      <c r="G5">
        <v>53.94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>
        <v>0.9133</v>
      </c>
      <c r="U5">
        <v>0.4914</v>
      </c>
      <c r="V5">
        <v>1.6080000000000001</v>
      </c>
    </row>
    <row r="6" spans="1:22" x14ac:dyDescent="0.2">
      <c r="A6" t="s">
        <v>4</v>
      </c>
      <c r="B6">
        <v>35.909999999999997</v>
      </c>
      <c r="C6">
        <v>28.23</v>
      </c>
      <c r="D6">
        <v>44.39</v>
      </c>
      <c r="E6">
        <v>43.91</v>
      </c>
      <c r="F6">
        <v>35.17</v>
      </c>
      <c r="G6">
        <v>55.33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>
        <v>8.6240000000000006</v>
      </c>
      <c r="U6">
        <v>4.0149999999999997</v>
      </c>
      <c r="V6">
        <v>14.25</v>
      </c>
    </row>
    <row r="7" spans="1:22" x14ac:dyDescent="0.2">
      <c r="A7" t="s">
        <v>38</v>
      </c>
    </row>
    <row r="8" spans="1:22" x14ac:dyDescent="0.2">
      <c r="A8" t="s">
        <v>39</v>
      </c>
    </row>
    <row r="9" spans="1:22" x14ac:dyDescent="0.2">
      <c r="A9" t="s">
        <v>8</v>
      </c>
    </row>
    <row r="10" spans="1:22" x14ac:dyDescent="0.2">
      <c r="A10" t="s">
        <v>6</v>
      </c>
      <c r="B10">
        <v>3.823</v>
      </c>
      <c r="C10">
        <v>2.0750000000000002</v>
      </c>
      <c r="D10">
        <v>6.2649999999999997</v>
      </c>
      <c r="E10">
        <v>4.1319999999999997</v>
      </c>
      <c r="F10">
        <v>2.4830000000000001</v>
      </c>
      <c r="G10">
        <v>6.53</v>
      </c>
      <c r="H10" t="s">
        <v>83</v>
      </c>
      <c r="I10" t="s">
        <v>83</v>
      </c>
      <c r="J10" t="s">
        <v>83</v>
      </c>
      <c r="K10">
        <v>0.41549999999999998</v>
      </c>
      <c r="L10">
        <v>0.1336</v>
      </c>
      <c r="M10">
        <v>1.0980000000000001</v>
      </c>
      <c r="N10">
        <v>8.7439999999999998</v>
      </c>
      <c r="O10">
        <v>5.41</v>
      </c>
      <c r="P10">
        <v>12.31</v>
      </c>
      <c r="Q10">
        <v>0.32490000000000002</v>
      </c>
      <c r="R10">
        <v>0</v>
      </c>
      <c r="S10">
        <v>1.6240000000000001</v>
      </c>
      <c r="T10" t="s">
        <v>83</v>
      </c>
      <c r="U10" t="s">
        <v>83</v>
      </c>
      <c r="V10" t="s">
        <v>83</v>
      </c>
    </row>
    <row r="11" spans="1:22" x14ac:dyDescent="0.2">
      <c r="A11" t="s">
        <v>5</v>
      </c>
      <c r="B11">
        <v>2.528</v>
      </c>
      <c r="C11">
        <v>0.8901</v>
      </c>
      <c r="D11">
        <v>4.7569999999999997</v>
      </c>
      <c r="E11">
        <v>3.7160000000000002</v>
      </c>
      <c r="F11">
        <v>1.4830000000000001</v>
      </c>
      <c r="G11">
        <v>6.2329999999999997</v>
      </c>
      <c r="H11" t="s">
        <v>83</v>
      </c>
      <c r="I11" t="s">
        <v>83</v>
      </c>
      <c r="J11" t="s">
        <v>83</v>
      </c>
      <c r="K11">
        <v>0</v>
      </c>
      <c r="L11">
        <v>0</v>
      </c>
      <c r="M11">
        <v>0</v>
      </c>
      <c r="N11">
        <v>0.4748</v>
      </c>
      <c r="O11">
        <v>0</v>
      </c>
      <c r="P11">
        <v>1.2</v>
      </c>
      <c r="Q11">
        <v>8.3070000000000005E-2</v>
      </c>
      <c r="R11">
        <v>0</v>
      </c>
      <c r="S11">
        <v>0.54590000000000005</v>
      </c>
      <c r="T11" t="s">
        <v>83</v>
      </c>
      <c r="U11" t="s">
        <v>83</v>
      </c>
      <c r="V11" t="s">
        <v>83</v>
      </c>
    </row>
    <row r="12" spans="1:22" x14ac:dyDescent="0.2">
      <c r="A12" t="s">
        <v>7</v>
      </c>
      <c r="B12">
        <v>1.7390000000000001</v>
      </c>
      <c r="C12">
        <v>0.87329999999999997</v>
      </c>
      <c r="D12">
        <v>2.7</v>
      </c>
      <c r="E12">
        <v>0.7954</v>
      </c>
      <c r="F12">
        <v>0.30690000000000001</v>
      </c>
      <c r="G12">
        <v>1.3540000000000001</v>
      </c>
      <c r="H12" t="s">
        <v>83</v>
      </c>
      <c r="I12" t="s">
        <v>83</v>
      </c>
      <c r="J12" t="s">
        <v>83</v>
      </c>
      <c r="K12">
        <v>0.92779999999999996</v>
      </c>
      <c r="L12">
        <v>0.56030000000000002</v>
      </c>
      <c r="M12">
        <v>1.2829999999999999</v>
      </c>
      <c r="N12">
        <v>3.1520000000000001</v>
      </c>
      <c r="O12">
        <v>2.2559999999999998</v>
      </c>
      <c r="P12">
        <v>4.0750000000000002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2" x14ac:dyDescent="0.2">
      <c r="A13" t="s">
        <v>10</v>
      </c>
      <c r="B13">
        <v>2.2959999999999998</v>
      </c>
      <c r="C13">
        <v>0.79269999999999996</v>
      </c>
      <c r="D13">
        <v>3.8940000000000001</v>
      </c>
      <c r="E13">
        <v>0.68589999999999995</v>
      </c>
      <c r="F13">
        <v>0.18260000000000001</v>
      </c>
      <c r="G13">
        <v>1.458</v>
      </c>
      <c r="H13" t="s">
        <v>83</v>
      </c>
      <c r="I13" t="s">
        <v>83</v>
      </c>
      <c r="J13" t="s">
        <v>83</v>
      </c>
      <c r="K13">
        <v>0.53259999999999996</v>
      </c>
      <c r="L13">
        <v>9.4289999999999999E-2</v>
      </c>
      <c r="M13">
        <v>1.0389999999999999</v>
      </c>
      <c r="N13">
        <v>2.9289999999999998</v>
      </c>
      <c r="O13">
        <v>1.431</v>
      </c>
      <c r="P13">
        <v>4.3520000000000003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2" x14ac:dyDescent="0.2">
      <c r="A14" t="s">
        <v>9</v>
      </c>
      <c r="B14">
        <v>2.4119999999999999</v>
      </c>
      <c r="C14">
        <v>0.49959999999999999</v>
      </c>
      <c r="D14">
        <v>4.7629999999999999</v>
      </c>
      <c r="E14">
        <v>2.363</v>
      </c>
      <c r="F14">
        <v>0.45200000000000001</v>
      </c>
      <c r="G14">
        <v>7.0369999999999999</v>
      </c>
      <c r="H14" t="s">
        <v>83</v>
      </c>
      <c r="I14" t="s">
        <v>83</v>
      </c>
      <c r="J14" t="s">
        <v>83</v>
      </c>
      <c r="K14">
        <v>0.35970000000000002</v>
      </c>
      <c r="L14">
        <v>5.8959999999999999E-2</v>
      </c>
      <c r="M14">
        <v>0.65310000000000001</v>
      </c>
      <c r="N14">
        <v>0.99490000000000001</v>
      </c>
      <c r="O14">
        <v>0.13450000000000001</v>
      </c>
      <c r="P14">
        <v>1.891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</row>
    <row r="15" spans="1:22" x14ac:dyDescent="0.2">
      <c r="A15" t="s">
        <v>11</v>
      </c>
      <c r="B15">
        <v>38.64</v>
      </c>
      <c r="C15">
        <v>31.56</v>
      </c>
      <c r="D15">
        <v>45.99</v>
      </c>
      <c r="E15">
        <v>8.31</v>
      </c>
      <c r="F15">
        <v>5.3029999999999999</v>
      </c>
      <c r="G15">
        <v>11.09</v>
      </c>
      <c r="H15">
        <v>44.79</v>
      </c>
      <c r="I15">
        <v>35.25</v>
      </c>
      <c r="J15">
        <v>58.49</v>
      </c>
      <c r="K15">
        <v>8.3810000000000002</v>
      </c>
      <c r="L15">
        <v>6.0609999999999999</v>
      </c>
      <c r="M15">
        <v>10.89</v>
      </c>
      <c r="N15" t="s">
        <v>83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</row>
    <row r="16" spans="1:22" x14ac:dyDescent="0.2">
      <c r="A16" t="s">
        <v>12</v>
      </c>
      <c r="B16">
        <v>6.1529999999999996</v>
      </c>
      <c r="C16">
        <v>3.6150000000000002</v>
      </c>
      <c r="D16">
        <v>8.2959999999999994</v>
      </c>
      <c r="E16">
        <v>2.86</v>
      </c>
      <c r="F16">
        <v>1.554</v>
      </c>
      <c r="G16">
        <v>4.66</v>
      </c>
      <c r="H16">
        <v>0.1794</v>
      </c>
      <c r="I16">
        <v>0</v>
      </c>
      <c r="J16">
        <v>0.67110000000000003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</row>
    <row r="17" spans="1:22" x14ac:dyDescent="0.2">
      <c r="A17" t="s">
        <v>16</v>
      </c>
    </row>
    <row r="18" spans="1:22" x14ac:dyDescent="0.2">
      <c r="A18" t="s">
        <v>60</v>
      </c>
    </row>
    <row r="19" spans="1:22" x14ac:dyDescent="0.2">
      <c r="A19" t="s">
        <v>62</v>
      </c>
    </row>
    <row r="20" spans="1:22" x14ac:dyDescent="0.2">
      <c r="A20" t="s">
        <v>63</v>
      </c>
    </row>
    <row r="21" spans="1:22" x14ac:dyDescent="0.2">
      <c r="A21" t="s">
        <v>65</v>
      </c>
      <c r="B21">
        <f>SUM(B2:B16)</f>
        <v>403.03100000000001</v>
      </c>
      <c r="C21">
        <f t="shared" ref="C21:V21" si="0">SUM(C2:C16)</f>
        <v>344.78570000000002</v>
      </c>
      <c r="D21">
        <f t="shared" si="0"/>
        <v>468.245</v>
      </c>
      <c r="E21">
        <f t="shared" si="0"/>
        <v>384.6123</v>
      </c>
      <c r="F21">
        <f t="shared" si="0"/>
        <v>317.61449999999996</v>
      </c>
      <c r="G21">
        <f t="shared" si="0"/>
        <v>458.97199999999992</v>
      </c>
      <c r="H21">
        <f t="shared" si="0"/>
        <v>44.9694</v>
      </c>
      <c r="I21">
        <f t="shared" si="0"/>
        <v>35.25</v>
      </c>
      <c r="J21">
        <f t="shared" si="0"/>
        <v>59.161100000000005</v>
      </c>
      <c r="K21">
        <f t="shared" si="0"/>
        <v>10.6166</v>
      </c>
      <c r="L21">
        <f t="shared" si="0"/>
        <v>6.90815</v>
      </c>
      <c r="M21">
        <f t="shared" si="0"/>
        <v>14.963100000000001</v>
      </c>
      <c r="N21">
        <f t="shared" si="0"/>
        <v>16.294699999999999</v>
      </c>
      <c r="O21">
        <f t="shared" si="0"/>
        <v>9.2315000000000005</v>
      </c>
      <c r="P21">
        <f t="shared" si="0"/>
        <v>23.828000000000003</v>
      </c>
      <c r="Q21">
        <f t="shared" si="0"/>
        <v>0.40797000000000005</v>
      </c>
      <c r="R21">
        <f t="shared" si="0"/>
        <v>0</v>
      </c>
      <c r="S21">
        <f t="shared" si="0"/>
        <v>2.1699000000000002</v>
      </c>
      <c r="T21">
        <f t="shared" si="0"/>
        <v>21.157299999999999</v>
      </c>
      <c r="U21">
        <f t="shared" si="0"/>
        <v>9.4913999999999987</v>
      </c>
      <c r="V21">
        <f t="shared" si="0"/>
        <v>52.177999999999997</v>
      </c>
    </row>
    <row r="22" spans="1:22" x14ac:dyDescent="0.2">
      <c r="A22" t="s">
        <v>66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BFBA-956C-D84A-B36D-34925F4FDBE8}">
  <dimension ref="A1:M17"/>
  <sheetViews>
    <sheetView workbookViewId="0">
      <selection activeCell="L12" sqref="L12"/>
    </sheetView>
  </sheetViews>
  <sheetFormatPr baseColWidth="10" defaultRowHeight="16" x14ac:dyDescent="0.2"/>
  <sheetData>
    <row r="1" spans="1:13" x14ac:dyDescent="0.2">
      <c r="A1" t="s">
        <v>0</v>
      </c>
      <c r="B1" s="7">
        <v>0.1</v>
      </c>
      <c r="C1" s="7">
        <v>0.2</v>
      </c>
      <c r="D1" s="7">
        <v>0.3</v>
      </c>
      <c r="E1" s="7">
        <v>0.4</v>
      </c>
      <c r="F1" s="7">
        <v>0.5</v>
      </c>
      <c r="G1" s="7">
        <v>0.6</v>
      </c>
      <c r="H1" s="7">
        <v>0.7</v>
      </c>
      <c r="I1" s="7">
        <v>0.8</v>
      </c>
      <c r="J1" s="7">
        <v>0.9</v>
      </c>
      <c r="K1" s="7">
        <v>0.95</v>
      </c>
      <c r="L1" s="7">
        <v>0.99</v>
      </c>
      <c r="M1" s="7">
        <v>1</v>
      </c>
    </row>
    <row r="2" spans="1:13" x14ac:dyDescent="0.2">
      <c r="A2" t="s">
        <v>1</v>
      </c>
    </row>
    <row r="3" spans="1:13" x14ac:dyDescent="0.2">
      <c r="A3" t="s">
        <v>2</v>
      </c>
      <c r="B3" s="5">
        <v>0.16880000000000001</v>
      </c>
      <c r="C3" s="5">
        <v>1.0999999999999999E-2</v>
      </c>
      <c r="D3" s="5">
        <v>5.0900000000000001E-2</v>
      </c>
      <c r="E3" s="5">
        <v>5.5899999999999998E-2</v>
      </c>
      <c r="F3" s="5">
        <v>6.9900000000000004E-2</v>
      </c>
      <c r="G3" s="5">
        <v>7.2900000000000006E-2</v>
      </c>
      <c r="H3" s="5">
        <v>9.1899999999999996E-2</v>
      </c>
      <c r="I3" s="5">
        <v>0.13789999999999999</v>
      </c>
      <c r="J3" s="5">
        <v>0.15179999999999999</v>
      </c>
      <c r="K3" s="5">
        <v>8.4900000000000003E-2</v>
      </c>
      <c r="L3" s="5">
        <v>8.7900000000000006E-2</v>
      </c>
      <c r="M3" s="5">
        <v>1.6E-2</v>
      </c>
    </row>
    <row r="4" spans="1:13" x14ac:dyDescent="0.2">
      <c r="A4" t="s">
        <v>27</v>
      </c>
      <c r="B4" s="5">
        <v>0.20680000000000001</v>
      </c>
      <c r="C4" s="5">
        <v>6.0000000000000001E-3</v>
      </c>
      <c r="D4" s="5">
        <v>4.2000000000000003E-2</v>
      </c>
      <c r="E4" s="5">
        <v>5.6899999999999999E-2</v>
      </c>
      <c r="F4" s="5">
        <v>5.1900000000000002E-2</v>
      </c>
      <c r="G4" s="5">
        <v>5.1900000000000002E-2</v>
      </c>
      <c r="H4" s="5">
        <v>5.4899999999999997E-2</v>
      </c>
      <c r="I4" s="5">
        <v>7.2900000000000006E-2</v>
      </c>
      <c r="J4" s="5">
        <v>9.5899999999999999E-2</v>
      </c>
      <c r="K4" s="5">
        <v>0.12089999999999999</v>
      </c>
      <c r="L4" s="5">
        <v>0.1958</v>
      </c>
      <c r="M4" s="5">
        <v>4.3999999999999997E-2</v>
      </c>
    </row>
    <row r="5" spans="1:13" x14ac:dyDescent="0.2">
      <c r="A5" t="s">
        <v>3</v>
      </c>
      <c r="B5" s="5">
        <v>0.14990000000000001</v>
      </c>
      <c r="C5" s="5">
        <v>4.0000000000000001E-3</v>
      </c>
      <c r="D5" s="5">
        <v>2.4E-2</v>
      </c>
      <c r="E5" s="5">
        <v>3.2000000000000001E-2</v>
      </c>
      <c r="F5" s="5">
        <v>4.2999999999999997E-2</v>
      </c>
      <c r="G5" s="5">
        <v>4.8000000000000001E-2</v>
      </c>
      <c r="H5" s="5">
        <v>5.8900000000000001E-2</v>
      </c>
      <c r="I5" s="5">
        <v>7.3899999999999993E-2</v>
      </c>
      <c r="J5" s="5">
        <v>0.1169</v>
      </c>
      <c r="K5" s="5">
        <v>0.16880000000000001</v>
      </c>
      <c r="L5" s="5">
        <v>0.23580000000000001</v>
      </c>
      <c r="M5" s="5">
        <v>4.4999999999999998E-2</v>
      </c>
    </row>
    <row r="6" spans="1:13" x14ac:dyDescent="0.2">
      <c r="A6" t="s">
        <v>4</v>
      </c>
      <c r="B6" s="5">
        <v>0.1459</v>
      </c>
      <c r="C6" s="5">
        <v>7.0000000000000001E-3</v>
      </c>
      <c r="D6" s="5">
        <v>2.1999999999999999E-2</v>
      </c>
      <c r="E6" s="5">
        <v>2.8000000000000001E-2</v>
      </c>
      <c r="F6" s="5">
        <v>4.2999999999999997E-2</v>
      </c>
      <c r="G6" s="5">
        <v>4.5999999999999999E-2</v>
      </c>
      <c r="H6" s="5">
        <v>5.5899999999999998E-2</v>
      </c>
      <c r="I6" s="5">
        <v>6.9900000000000004E-2</v>
      </c>
      <c r="J6" s="5">
        <v>0.1179</v>
      </c>
      <c r="K6" s="5">
        <v>0.18079999999999999</v>
      </c>
      <c r="L6" s="5">
        <v>0.23980000000000001</v>
      </c>
      <c r="M6" s="5">
        <v>4.3999999999999997E-2</v>
      </c>
    </row>
    <row r="7" spans="1:13" x14ac:dyDescent="0.2">
      <c r="A7" t="s">
        <v>38</v>
      </c>
      <c r="B7" s="5">
        <v>0.5504</v>
      </c>
      <c r="C7" s="7">
        <v>0</v>
      </c>
      <c r="D7" s="7">
        <v>0</v>
      </c>
      <c r="E7" s="5">
        <v>1.4999999999999999E-2</v>
      </c>
      <c r="F7" s="5">
        <v>2.8000000000000001E-2</v>
      </c>
      <c r="G7" s="5">
        <v>2.5000000000000001E-2</v>
      </c>
      <c r="H7" s="5">
        <v>4.7E-2</v>
      </c>
      <c r="I7" s="5">
        <v>8.4900000000000003E-2</v>
      </c>
      <c r="J7" s="5">
        <v>0.12690000000000001</v>
      </c>
      <c r="K7" s="5">
        <v>7.1900000000000006E-2</v>
      </c>
      <c r="L7" s="5">
        <v>3.6999999999999998E-2</v>
      </c>
      <c r="M7" s="5">
        <v>1.4E-2</v>
      </c>
    </row>
    <row r="8" spans="1:13" x14ac:dyDescent="0.2">
      <c r="A8" t="s">
        <v>39</v>
      </c>
      <c r="B8" s="5">
        <v>0.51949999999999996</v>
      </c>
      <c r="C8" s="7">
        <v>0</v>
      </c>
      <c r="D8" s="7">
        <v>0</v>
      </c>
      <c r="E8" s="5">
        <v>1.9E-2</v>
      </c>
      <c r="F8" s="5">
        <v>2.7E-2</v>
      </c>
      <c r="G8" s="7">
        <v>0.03</v>
      </c>
      <c r="H8" s="5">
        <v>4.1000000000000002E-2</v>
      </c>
      <c r="I8" s="5">
        <v>8.6900000000000005E-2</v>
      </c>
      <c r="J8" s="5">
        <v>0.13789999999999999</v>
      </c>
      <c r="K8" s="5">
        <v>7.9899999999999999E-2</v>
      </c>
      <c r="L8" s="5">
        <v>4.3999999999999997E-2</v>
      </c>
      <c r="M8" s="5">
        <v>1.4999999999999999E-2</v>
      </c>
    </row>
    <row r="9" spans="1:13" x14ac:dyDescent="0.2">
      <c r="A9" t="s">
        <v>8</v>
      </c>
    </row>
    <row r="10" spans="1:13" x14ac:dyDescent="0.2">
      <c r="A10" t="s">
        <v>6</v>
      </c>
      <c r="B10" s="5">
        <v>0.53549999999999998</v>
      </c>
      <c r="C10" s="7">
        <v>0</v>
      </c>
      <c r="D10" s="7">
        <v>0</v>
      </c>
      <c r="E10" s="5">
        <v>1.2999999999999999E-2</v>
      </c>
      <c r="F10" s="5">
        <v>3.5999999999999997E-2</v>
      </c>
      <c r="G10" s="5">
        <v>2.5999999999999999E-2</v>
      </c>
      <c r="H10" s="5">
        <v>3.9E-2</v>
      </c>
      <c r="I10" s="5">
        <v>8.6900000000000005E-2</v>
      </c>
      <c r="J10" s="5">
        <v>0.13189999999999999</v>
      </c>
      <c r="K10" s="5">
        <v>6.9900000000000004E-2</v>
      </c>
      <c r="L10" s="5">
        <v>4.5999999999999999E-2</v>
      </c>
      <c r="M10" s="5">
        <v>1.6E-2</v>
      </c>
    </row>
    <row r="11" spans="1:13" x14ac:dyDescent="0.2">
      <c r="A11" t="s">
        <v>5</v>
      </c>
      <c r="B11" s="5">
        <v>0.58440000000000003</v>
      </c>
      <c r="C11" s="7">
        <v>0</v>
      </c>
      <c r="D11" s="7">
        <v>0</v>
      </c>
      <c r="E11" s="5">
        <v>8.9999999999999993E-3</v>
      </c>
      <c r="F11" s="5">
        <v>3.5999999999999997E-2</v>
      </c>
      <c r="G11" s="5">
        <v>2.1999999999999999E-2</v>
      </c>
      <c r="H11" s="5">
        <v>3.6999999999999998E-2</v>
      </c>
      <c r="I11" s="5">
        <v>6.9900000000000004E-2</v>
      </c>
      <c r="J11" s="5">
        <v>0.1179</v>
      </c>
      <c r="K11" s="5">
        <v>6.0900000000000003E-2</v>
      </c>
      <c r="L11" s="5">
        <v>4.4999999999999998E-2</v>
      </c>
      <c r="M11" s="5">
        <v>1.7999999999999999E-2</v>
      </c>
    </row>
    <row r="12" spans="1:13" x14ac:dyDescent="0.2">
      <c r="A12" t="s">
        <v>7</v>
      </c>
      <c r="B12" s="5">
        <v>0.59540000000000004</v>
      </c>
      <c r="C12" s="7">
        <v>0</v>
      </c>
      <c r="D12" s="7">
        <v>0</v>
      </c>
      <c r="E12" s="5">
        <v>1.2999999999999999E-2</v>
      </c>
      <c r="F12" s="5">
        <v>4.2000000000000003E-2</v>
      </c>
      <c r="G12" s="5">
        <v>3.2000000000000001E-2</v>
      </c>
      <c r="H12" s="7">
        <v>0.04</v>
      </c>
      <c r="I12" s="5">
        <v>6.9900000000000004E-2</v>
      </c>
      <c r="J12" s="5">
        <v>0.10390000000000001</v>
      </c>
      <c r="K12" s="7">
        <v>0.05</v>
      </c>
      <c r="L12" s="5">
        <v>4.1000000000000002E-2</v>
      </c>
      <c r="M12" s="5">
        <v>1.2999999999999999E-2</v>
      </c>
    </row>
    <row r="13" spans="1:13" x14ac:dyDescent="0.2">
      <c r="A13" t="s">
        <v>9</v>
      </c>
      <c r="B13" s="5">
        <v>0.18679999999999999</v>
      </c>
      <c r="C13" s="5">
        <v>2.4E-2</v>
      </c>
      <c r="D13" s="7">
        <v>0.03</v>
      </c>
      <c r="E13" s="5">
        <v>3.3000000000000002E-2</v>
      </c>
      <c r="F13" s="5">
        <v>2.5000000000000001E-2</v>
      </c>
      <c r="G13" s="7">
        <v>0.03</v>
      </c>
      <c r="H13" s="5">
        <v>7.9899999999999999E-2</v>
      </c>
      <c r="I13" s="5">
        <v>0.10589999999999999</v>
      </c>
      <c r="J13" s="5">
        <v>0.24079999999999999</v>
      </c>
      <c r="K13" s="5">
        <v>0.1608</v>
      </c>
      <c r="L13" s="5">
        <v>7.9899999999999999E-2</v>
      </c>
      <c r="M13" s="5">
        <v>4.0000000000000001E-3</v>
      </c>
    </row>
    <row r="14" spans="1:13" x14ac:dyDescent="0.2">
      <c r="A14" t="s">
        <v>10</v>
      </c>
      <c r="B14" s="5">
        <v>0.20780000000000001</v>
      </c>
      <c r="C14" s="5">
        <v>1.9E-2</v>
      </c>
      <c r="D14" s="5">
        <v>2.5000000000000001E-2</v>
      </c>
      <c r="E14" s="5">
        <v>3.4000000000000002E-2</v>
      </c>
      <c r="F14" s="5">
        <v>2.8000000000000001E-2</v>
      </c>
      <c r="G14" s="5">
        <v>3.4000000000000002E-2</v>
      </c>
      <c r="H14" s="5">
        <v>7.5899999999999995E-2</v>
      </c>
      <c r="I14" s="5">
        <v>0.1079</v>
      </c>
      <c r="J14" s="5">
        <v>0.2268</v>
      </c>
      <c r="K14" s="5">
        <v>0.15279999999999999</v>
      </c>
      <c r="L14" s="5">
        <v>8.2900000000000001E-2</v>
      </c>
      <c r="M14" s="5">
        <v>6.0000000000000001E-3</v>
      </c>
    </row>
    <row r="15" spans="1:13" x14ac:dyDescent="0.2">
      <c r="A15" t="s">
        <v>11</v>
      </c>
      <c r="B15" s="5">
        <v>4.5999999999999999E-2</v>
      </c>
      <c r="C15" s="5">
        <v>3.4000000000000002E-2</v>
      </c>
      <c r="D15" s="5">
        <v>3.4000000000000002E-2</v>
      </c>
      <c r="E15" s="5">
        <v>5.79E-2</v>
      </c>
      <c r="F15" s="5">
        <v>6.59E-2</v>
      </c>
      <c r="G15" s="5">
        <v>6.4899999999999999E-2</v>
      </c>
      <c r="H15" s="5">
        <v>9.9900000000000003E-2</v>
      </c>
      <c r="I15" s="5">
        <v>9.3899999999999997E-2</v>
      </c>
      <c r="J15" s="5">
        <v>9.69E-2</v>
      </c>
      <c r="K15" s="5">
        <v>2.4E-2</v>
      </c>
      <c r="L15" s="5">
        <v>0.31869999999999998</v>
      </c>
      <c r="M15" s="5">
        <v>6.3899999999999998E-2</v>
      </c>
    </row>
    <row r="16" spans="1:13" x14ac:dyDescent="0.2">
      <c r="A16" t="s">
        <v>12</v>
      </c>
      <c r="B16" s="5">
        <v>0.17879999999999999</v>
      </c>
      <c r="C16" s="5">
        <v>5.9900000000000002E-2</v>
      </c>
      <c r="D16" s="5">
        <v>6.59E-2</v>
      </c>
      <c r="E16" s="5">
        <v>6.6900000000000001E-2</v>
      </c>
      <c r="F16" s="5">
        <v>6.3899999999999998E-2</v>
      </c>
      <c r="G16" s="5">
        <v>8.9899999999999994E-2</v>
      </c>
      <c r="H16" s="5">
        <v>8.8900000000000007E-2</v>
      </c>
      <c r="I16" s="5">
        <v>0.1089</v>
      </c>
      <c r="J16" s="5">
        <v>0.18279999999999999</v>
      </c>
      <c r="K16" s="5">
        <v>6.59E-2</v>
      </c>
      <c r="L16" s="5">
        <v>2.4E-2</v>
      </c>
      <c r="M16" s="5">
        <v>4.0000000000000001E-3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G3" sqref="G3"/>
    </sheetView>
  </sheetViews>
  <sheetFormatPr baseColWidth="10" defaultRowHeight="16" x14ac:dyDescent="0.2"/>
  <sheetData>
    <row r="1" spans="1:7" x14ac:dyDescent="0.2">
      <c r="A1" t="s">
        <v>0</v>
      </c>
      <c r="B1" t="s">
        <v>35</v>
      </c>
      <c r="C1" t="s">
        <v>36</v>
      </c>
      <c r="D1" t="s">
        <v>37</v>
      </c>
      <c r="G1" t="s">
        <v>61</v>
      </c>
    </row>
    <row r="2" spans="1:7" x14ac:dyDescent="0.2">
      <c r="A2" t="s">
        <v>1</v>
      </c>
      <c r="B2">
        <f>'By site visit'!AV2/'By site'!CA3</f>
        <v>0</v>
      </c>
      <c r="C2" t="e">
        <f>'By site'!AZ3/'By site visit'!AL2</f>
        <v>#DIV/0!</v>
      </c>
      <c r="D2" t="e">
        <f>B2/C2</f>
        <v>#DIV/0!</v>
      </c>
      <c r="G2" s="10">
        <f>'By site visit'!AN2/'By site'!AZ3-1</f>
        <v>-1</v>
      </c>
    </row>
    <row r="3" spans="1:7" x14ac:dyDescent="0.2">
      <c r="A3" t="s">
        <v>2</v>
      </c>
      <c r="B3">
        <f>'By site visit'!AV3/'By site'!CA4</f>
        <v>0</v>
      </c>
      <c r="C3">
        <f>'By site'!AZ4/'By site visit'!AL3</f>
        <v>9.8555617510594027E-3</v>
      </c>
      <c r="D3">
        <f t="shared" ref="D3:D15" si="0">B3/C3</f>
        <v>0</v>
      </c>
      <c r="G3" s="10">
        <f>'By site visit'!AN3/'By site'!AZ4-1</f>
        <v>-0.95952538983267066</v>
      </c>
    </row>
    <row r="4" spans="1:7" x14ac:dyDescent="0.2">
      <c r="A4" t="s">
        <v>27</v>
      </c>
      <c r="B4" t="e">
        <f>'By site visit'!AV4/'By site'!CA5</f>
        <v>#DIV/0!</v>
      </c>
      <c r="C4" t="e">
        <f>'By site'!AZ5/'By site visit'!AL4</f>
        <v>#DIV/0!</v>
      </c>
      <c r="D4" t="e">
        <f t="shared" si="0"/>
        <v>#DIV/0!</v>
      </c>
      <c r="G4" s="10" t="e">
        <f>'By site visit'!AN4/'By site'!AZ5-1</f>
        <v>#DIV/0!</v>
      </c>
    </row>
    <row r="5" spans="1:7" x14ac:dyDescent="0.2">
      <c r="A5" t="s">
        <v>3</v>
      </c>
      <c r="B5" t="e">
        <f>'By site visit'!AV5/'By site'!CA6</f>
        <v>#DIV/0!</v>
      </c>
      <c r="C5" t="e">
        <f>'By site'!AZ6/'By site visit'!AL5</f>
        <v>#DIV/0!</v>
      </c>
      <c r="D5" t="e">
        <f t="shared" si="0"/>
        <v>#DIV/0!</v>
      </c>
      <c r="G5" s="10" t="e">
        <f>'By site visit'!AN5/'By site'!AZ6-1</f>
        <v>#DIV/0!</v>
      </c>
    </row>
    <row r="6" spans="1:7" x14ac:dyDescent="0.2">
      <c r="A6" t="s">
        <v>4</v>
      </c>
      <c r="B6" t="e">
        <f>'By site visit'!AV6/'By site'!CA7</f>
        <v>#DIV/0!</v>
      </c>
      <c r="C6" t="e">
        <f>'By site'!AZ7/'By site visit'!AL6</f>
        <v>#DIV/0!</v>
      </c>
      <c r="D6" t="e">
        <f t="shared" si="0"/>
        <v>#DIV/0!</v>
      </c>
      <c r="G6" s="10" t="e">
        <f>'By site visit'!AN6/'By site'!AZ7-1</f>
        <v>#DIV/0!</v>
      </c>
    </row>
    <row r="7" spans="1:7" x14ac:dyDescent="0.2">
      <c r="A7" t="s">
        <v>8</v>
      </c>
      <c r="B7" t="e">
        <f>'By site visit'!AV7/'By site'!#REF!</f>
        <v>#DIV/0!</v>
      </c>
      <c r="C7" t="e">
        <f>'By site'!#REF!/'By site visit'!AL7</f>
        <v>#REF!</v>
      </c>
      <c r="D7" t="e">
        <f t="shared" si="0"/>
        <v>#DIV/0!</v>
      </c>
      <c r="G7" s="10" t="e">
        <f>'By site visit'!AN7/'By site'!AZ8-1</f>
        <v>#DIV/0!</v>
      </c>
    </row>
    <row r="8" spans="1:7" x14ac:dyDescent="0.2">
      <c r="A8" t="s">
        <v>6</v>
      </c>
      <c r="B8" t="e">
        <f>'By site visit'!AV8/'By site'!CA10</f>
        <v>#DIV/0!</v>
      </c>
      <c r="C8" t="e">
        <f>'By site'!AZ10/'By site visit'!AL8</f>
        <v>#DIV/0!</v>
      </c>
      <c r="D8" t="e">
        <f t="shared" si="0"/>
        <v>#DIV/0!</v>
      </c>
      <c r="G8" s="10" t="e">
        <f>'By site visit'!AN8/'By site'!AZ9-1</f>
        <v>#DIV/0!</v>
      </c>
    </row>
    <row r="9" spans="1:7" x14ac:dyDescent="0.2">
      <c r="A9" t="s">
        <v>5</v>
      </c>
      <c r="B9">
        <f>'By site visit'!AV9/'By site'!CA11</f>
        <v>0</v>
      </c>
      <c r="C9" t="e">
        <f>'By site'!AZ11/'By site visit'!AL9</f>
        <v>#DIV/0!</v>
      </c>
      <c r="D9" t="e">
        <f t="shared" si="0"/>
        <v>#DIV/0!</v>
      </c>
      <c r="G9" s="10" t="e">
        <f>'By site visit'!AN9/'By site'!#REF!-1</f>
        <v>#REF!</v>
      </c>
    </row>
    <row r="10" spans="1:7" x14ac:dyDescent="0.2">
      <c r="A10" t="s">
        <v>7</v>
      </c>
      <c r="B10" t="e">
        <f>'By site visit'!AV10/'By site'!CA12</f>
        <v>#DIV/0!</v>
      </c>
      <c r="C10" t="e">
        <f>'By site'!AZ12/'By site visit'!AL10</f>
        <v>#DIV/0!</v>
      </c>
      <c r="D10" t="e">
        <f t="shared" si="0"/>
        <v>#DIV/0!</v>
      </c>
      <c r="G10" s="10" t="e">
        <f>'By site visit'!AN10/'By site'!AZ10-1</f>
        <v>#DIV/0!</v>
      </c>
    </row>
    <row r="11" spans="1:7" x14ac:dyDescent="0.2">
      <c r="A11" t="s">
        <v>9</v>
      </c>
      <c r="B11" t="e">
        <f>'By site visit'!AV11/'By site'!CA13</f>
        <v>#DIV/0!</v>
      </c>
      <c r="C11" t="e">
        <f>'By site'!AZ13/'By site visit'!AL11</f>
        <v>#DIV/0!</v>
      </c>
      <c r="D11" t="e">
        <f t="shared" si="0"/>
        <v>#DIV/0!</v>
      </c>
      <c r="G11" s="10" t="e">
        <f>'By site visit'!AN11/'By site'!AZ11-1</f>
        <v>#DIV/0!</v>
      </c>
    </row>
    <row r="12" spans="1:7" x14ac:dyDescent="0.2">
      <c r="A12" t="s">
        <v>10</v>
      </c>
      <c r="B12" t="e">
        <f>'By site visit'!AV12/'By site'!CA14</f>
        <v>#DIV/0!</v>
      </c>
      <c r="C12" t="e">
        <f>'By site'!AZ14/'By site visit'!AL12</f>
        <v>#DIV/0!</v>
      </c>
      <c r="D12" t="e">
        <f t="shared" si="0"/>
        <v>#DIV/0!</v>
      </c>
      <c r="G12" s="10" t="e">
        <f>'By site visit'!AN12/'By site'!AZ12-1</f>
        <v>#DIV/0!</v>
      </c>
    </row>
    <row r="13" spans="1:7" x14ac:dyDescent="0.2">
      <c r="A13" t="s">
        <v>11</v>
      </c>
      <c r="B13" t="e">
        <f>'By site visit'!AV13/'By site'!CA15</f>
        <v>#DIV/0!</v>
      </c>
      <c r="C13" t="e">
        <f>'By site'!AZ15/'By site visit'!AL13</f>
        <v>#DIV/0!</v>
      </c>
      <c r="D13" t="e">
        <f t="shared" si="0"/>
        <v>#DIV/0!</v>
      </c>
      <c r="G13" s="10" t="e">
        <f>'By site visit'!AN13/'By site'!AZ13-1</f>
        <v>#DIV/0!</v>
      </c>
    </row>
    <row r="14" spans="1:7" x14ac:dyDescent="0.2">
      <c r="A14" t="s">
        <v>12</v>
      </c>
      <c r="B14" t="e">
        <f>'By site visit'!AV14/'By site'!CA16</f>
        <v>#DIV/0!</v>
      </c>
      <c r="C14" t="e">
        <f>'By site'!AZ16/'By site visit'!AL14</f>
        <v>#DIV/0!</v>
      </c>
      <c r="D14" t="e">
        <f t="shared" si="0"/>
        <v>#DIV/0!</v>
      </c>
      <c r="G14" s="10" t="e">
        <f>'By site visit'!AN14/'By site'!AZ14-1</f>
        <v>#DIV/0!</v>
      </c>
    </row>
    <row r="15" spans="1:7" x14ac:dyDescent="0.2">
      <c r="A15" t="s">
        <v>16</v>
      </c>
      <c r="B15" t="e">
        <f>'By site visit'!AV15/'By site'!CA17</f>
        <v>#DIV/0!</v>
      </c>
      <c r="C15" t="e">
        <f>'By site'!AZ17/'By site visit'!AL15</f>
        <v>#DIV/0!</v>
      </c>
      <c r="D15" t="e">
        <f t="shared" si="0"/>
        <v>#DIV/0!</v>
      </c>
      <c r="G15" s="10" t="e">
        <f>'By site visit'!AN15/'By site'!AZ15-1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By site</vt:lpstr>
      <vt:lpstr>Tables for paper</vt:lpstr>
      <vt:lpstr>GHGRP gas comp</vt:lpstr>
      <vt:lpstr>By site visit</vt:lpstr>
      <vt:lpstr>By site no strat</vt:lpstr>
      <vt:lpstr>Aerial by source</vt:lpstr>
      <vt:lpstr>Well share by basin quantile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2023-03-29T02:50:31Z</dcterms:modified>
</cp:coreProperties>
</file>