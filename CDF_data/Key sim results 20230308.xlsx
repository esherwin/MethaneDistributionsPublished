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21C331B5-FF2E-6B4F-947F-FCA4B672E055}" xr6:coauthVersionLast="47" xr6:coauthVersionMax="47" xr10:uidLastSave="{00000000-0000-0000-0000-000000000000}"/>
  <bookViews>
    <workbookView xWindow="5360" yWindow="460" windowWidth="32320" windowHeight="17080" xr2:uid="{DA729304-F74A-A044-AD1E-035DDE35C875}"/>
  </bookViews>
  <sheets>
    <sheet name="By site" sheetId="1" r:id="rId1"/>
    <sheet name="GHGRP gas comp" sheetId="7" r:id="rId2"/>
    <sheet name="By site visit" sheetId="2" r:id="rId3"/>
    <sheet name="By site no strat" sheetId="4" r:id="rId4"/>
    <sheet name="Aerial by source" sheetId="6" r:id="rId5"/>
    <sheet name="Well share by basin quantile" sheetId="5" r:id="rId6"/>
    <sheet name="Comparison" sheetId="3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1" l="1"/>
  <c r="U37" i="1"/>
  <c r="AX21" i="1"/>
  <c r="BA21" i="1" s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X28" i="1"/>
  <c r="W28" i="1"/>
  <c r="V29" i="1"/>
  <c r="Q29" i="1"/>
  <c r="P29" i="1"/>
  <c r="O29" i="1"/>
  <c r="Q28" i="1"/>
  <c r="P28" i="1"/>
  <c r="O28" i="1"/>
  <c r="Q27" i="1"/>
  <c r="Q33" i="1" s="1"/>
  <c r="P27" i="1"/>
  <c r="P33" i="1" s="1"/>
  <c r="O27" i="1"/>
  <c r="O33" i="1" s="1"/>
  <c r="V28" i="1"/>
  <c r="BK33" i="1"/>
  <c r="BK32" i="1"/>
  <c r="BK31" i="1"/>
  <c r="W33" i="1"/>
  <c r="W32" i="1"/>
  <c r="W31" i="1"/>
  <c r="X33" i="1"/>
  <c r="X32" i="1"/>
  <c r="X31" i="1"/>
  <c r="AJ33" i="1"/>
  <c r="AJ32" i="1"/>
  <c r="AJ31" i="1"/>
  <c r="AE33" i="1"/>
  <c r="AD33" i="1"/>
  <c r="AC33" i="1"/>
  <c r="AB33" i="1"/>
  <c r="AA33" i="1"/>
  <c r="Z33" i="1"/>
  <c r="AE32" i="1"/>
  <c r="AD32" i="1"/>
  <c r="AC32" i="1"/>
  <c r="AB32" i="1"/>
  <c r="AA32" i="1"/>
  <c r="AE31" i="1"/>
  <c r="AD31" i="1"/>
  <c r="AC31" i="1"/>
  <c r="AB31" i="1"/>
  <c r="AA31" i="1"/>
  <c r="Z31" i="1"/>
  <c r="Z32" i="1"/>
  <c r="BK28" i="1"/>
  <c r="AJ28" i="1"/>
  <c r="AC28" i="1"/>
  <c r="BK27" i="1"/>
  <c r="AJ27" i="1"/>
  <c r="AC27" i="1"/>
  <c r="X27" i="1"/>
  <c r="V27" i="1"/>
  <c r="U36" i="1" s="1"/>
  <c r="W27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B21" i="1" l="1"/>
  <c r="AK33" i="1"/>
  <c r="O38" i="1"/>
  <c r="O39" i="1" s="1"/>
  <c r="O34" i="1"/>
  <c r="O35" i="1"/>
  <c r="Q34" i="1"/>
  <c r="Q38" i="1"/>
  <c r="Q39" i="1" s="1"/>
  <c r="Q35" i="1"/>
  <c r="P34" i="1"/>
  <c r="P35" i="1"/>
  <c r="P38" i="1"/>
  <c r="P39" i="1" s="1"/>
  <c r="AX27" i="1"/>
  <c r="AY27" i="1"/>
  <c r="AZ27" i="1"/>
  <c r="X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AX29" i="1"/>
  <c r="AY29" i="1"/>
  <c r="BK34" i="1"/>
  <c r="AK31" i="1"/>
  <c r="AK28" i="1"/>
  <c r="AK32" i="1"/>
  <c r="W34" i="1"/>
  <c r="AZ29" i="1"/>
  <c r="AJ34" i="1"/>
  <c r="AZ28" i="1"/>
  <c r="AX28" i="1"/>
  <c r="AY28" i="1"/>
  <c r="AK27" i="1"/>
  <c r="BN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V26" i="1"/>
  <c r="AK33" i="7" l="1"/>
  <c r="AK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N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sharedStrings.xml><?xml version="1.0" encoding="utf-8"?>
<sst xmlns="http://schemas.openxmlformats.org/spreadsheetml/2006/main" count="843" uniqueCount="178">
  <si>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</si>
  <si>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</si>
  <si>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</si>
  <si>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</si>
  <si>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</si>
  <si>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</si>
  <si>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</si>
  <si>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</si>
  <si>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</si>
  <si>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</si>
  <si>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</si>
  <si>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</si>
  <si>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</si>
  <si>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</si>
  <si>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</si>
  <si>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</si>
  <si>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</si>
  <si>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</si>
  <si>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</si>
  <si>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</si>
  <si>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</si>
  <si>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</si>
  <si>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</si>
  <si>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</si>
  <si>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</si>
  <si>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</si>
  <si>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</si>
  <si>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</si>
  <si>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</si>
  <si>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</si>
  <si>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</si>
  <si>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</si>
  <si>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</si>
  <si>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</si>
  <si>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</si>
  <si>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</si>
  <si>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</si>
  <si>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</si>
  <si>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</si>
  <si>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</si>
  <si>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</si>
  <si>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</si>
  <si>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</si>
  <si>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</si>
  <si>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</si>
  <si>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</si>
  <si>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</si>
  <si>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</si>
  <si>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</si>
  <si>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</si>
  <si>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</si>
  <si>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</si>
  <si>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</si>
  <si>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</si>
  <si>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</si>
  <si>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</si>
  <si>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</si>
  <si>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</si>
  <si>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</si>
  <si>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</si>
  <si>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</si>
  <si>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</si>
  <si>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</si>
  <si>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</si>
  <si>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</si>
  <si>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</si>
  <si>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</si>
  <si>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</si>
  <si>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</si>
  <si>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</si>
  <si>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</si>
  <si>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</si>
  <si>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</si>
  <si>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</si>
  <si>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</si>
  <si>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</si>
  <si>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</si>
  <si>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</si>
  <si>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</si>
  <si>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</si>
  <si>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</si>
  <si>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</si>
  <si>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</si>
  <si>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</si>
  <si>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</si>
  <si>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</si>
  <si>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</si>
  <si>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</si>
  <si>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</si>
  <si>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</si>
  <si>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</si>
  <si>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</si>
  <si>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</si>
  <si>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</si>
  <si>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</si>
  <si>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</si>
  <si>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</si>
  <si>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</si>
  <si>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</si>
  <si>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</si>
  <si>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</si>
  <si>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</si>
  <si>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</si>
  <si>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</si>
  <si>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</si>
  <si>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</si>
  <si>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</si>
  <si>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</si>
  <si>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</si>
  <si>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</si>
  <si>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</si>
  <si>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</si>
  <si>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</si>
  <si>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</si>
  <si>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</si>
  <si>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</si>
  <si>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</si>
  <si>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</si>
  <si>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</si>
  <si>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</si>
  <si>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</si>
  <si>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</si>
  <si>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</si>
  <si>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</si>
  <si>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</si>
  <si>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</si>
  <si>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</si>
  <si>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</si>
  <si>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</si>
  <si>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</si>
  <si>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</si>
  <si>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</si>
  <si>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</si>
  <si>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</si>
  <si>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</si>
  <si>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</si>
  <si>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</si>
  <si>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</si>
  <si>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</si>
  <si>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</si>
  <si>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</si>
  <si>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</si>
  <si>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</si>
  <si>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</si>
  <si>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</si>
  <si>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</si>
  <si>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</si>
  <si>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</si>
  <si>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</si>
  <si>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</si>
  <si>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</si>
  <si>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</si>
  <si>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</si>
  <si>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</si>
  <si>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</si>
  <si>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</si>
  <si>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</si>
  <si>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</si>
  <si>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</si>
  <si>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</si>
  <si>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</si>
  <si>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</si>
  <si>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20221204d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</si>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</sst>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CB59"/>
  <sheetViews>
    <sheetView tabSelected="1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AX17" sqref="AX17"/>
    </sheetView>
  </sheetViews>
  <sheetFormatPr baseColWidth="10" defaultRowHeight="16" x14ac:dyDescent="0.2"/>
  <cols>
    <col min="1" max="1" width="21.1640625" customWidth="1"/>
    <col min="2" max="2" width="14.5" customWidth="1"/>
    <col min="3" max="13" width="11" bestFit="1" customWidth="1"/>
    <col min="14" max="14" width="17.83203125" customWidth="1"/>
    <col min="15" max="15" width="16.83203125" customWidth="1"/>
    <col min="16" max="17" width="16.1640625" customWidth="1"/>
    <col min="18" max="20" width="11" bestFit="1" customWidth="1"/>
    <col min="21" max="21" width="17.6640625" bestFit="1" customWidth="1"/>
    <col min="22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16.825157247044601</v>
      </c>
      <c r="C2">
        <v>78.077833888691799</v>
      </c>
      <c r="D2">
        <v>5.6664500533264004</v>
      </c>
      <c r="E2">
        <v>100.569441189063</v>
      </c>
      <c r="F2">
        <v>93.161573744613605</v>
      </c>
      <c r="G2">
        <v>108.96503039541</v>
      </c>
      <c r="H2">
        <v>71.065568604872894</v>
      </c>
      <c r="I2">
        <v>86.5654938393333</v>
      </c>
      <c r="J2">
        <v>73.685818281849095</v>
      </c>
      <c r="K2">
        <v>67.418232056591094</v>
      </c>
      <c r="L2">
        <v>84.058840434104994</v>
      </c>
      <c r="M2">
        <v>6.2248460329621897</v>
      </c>
      <c r="N2">
        <v>7.4248657538986702</v>
      </c>
      <c r="O2" s="4">
        <v>187.90497125777301</v>
      </c>
      <c r="P2" s="4">
        <v>176.19114760455301</v>
      </c>
      <c r="Q2" s="4">
        <v>202.41206538899101</v>
      </c>
      <c r="R2">
        <v>1000</v>
      </c>
      <c r="S2" s="10">
        <v>6.4151927110693799E-2</v>
      </c>
      <c r="T2" s="6">
        <v>7.0962342611128504</v>
      </c>
      <c r="U2" s="6">
        <v>19.097999999999999</v>
      </c>
      <c r="V2" s="8">
        <v>1952.04513368984</v>
      </c>
      <c r="W2" s="8">
        <v>21637</v>
      </c>
      <c r="X2" s="8">
        <v>81564</v>
      </c>
      <c r="Y2">
        <v>1.2</v>
      </c>
      <c r="Z2" s="8">
        <v>1083</v>
      </c>
      <c r="AA2">
        <v>1082.1600000000001</v>
      </c>
      <c r="AB2">
        <v>537</v>
      </c>
      <c r="AC2" s="6">
        <v>258.76</v>
      </c>
      <c r="AD2">
        <v>902</v>
      </c>
      <c r="AE2">
        <v>415</v>
      </c>
      <c r="AF2">
        <v>24.250023000943202</v>
      </c>
      <c r="AG2" t="s">
        <v>44</v>
      </c>
      <c r="AH2" t="s">
        <v>43</v>
      </c>
      <c r="AI2" s="12">
        <v>20221205</v>
      </c>
      <c r="AJ2" s="4">
        <v>67970</v>
      </c>
      <c r="AK2" s="6">
        <v>3.76982806433722</v>
      </c>
      <c r="AL2" s="12">
        <v>0.51503794724005403</v>
      </c>
      <c r="AM2" s="2">
        <v>3.3040676850585302E-2</v>
      </c>
      <c r="AN2" s="2">
        <v>2.0286620595889701E-3</v>
      </c>
      <c r="AO2">
        <v>0.15310057023826101</v>
      </c>
      <c r="AP2">
        <v>0.83492682587213496</v>
      </c>
      <c r="AQ2">
        <v>1.1972603889604199E-2</v>
      </c>
      <c r="AR2" s="3">
        <v>8.6192460187848909E-3</v>
      </c>
      <c r="AS2" s="2">
        <v>3.9997965488177897E-2</v>
      </c>
      <c r="AT2" s="2">
        <v>3.3023205709675998E-2</v>
      </c>
      <c r="AU2" s="2">
        <v>4.8440228700030598E-2</v>
      </c>
      <c r="AV2" s="2">
        <v>2.9028273760327598E-3</v>
      </c>
      <c r="AW2" s="2">
        <v>5.15200388829955E-2</v>
      </c>
      <c r="AX2" s="3">
        <v>9.6260566938115105E-2</v>
      </c>
      <c r="AY2" s="3">
        <v>-6.0007954995780497E-3</v>
      </c>
      <c r="AZ2" s="3">
        <v>7.4317411420689403E-3</v>
      </c>
      <c r="BA2" s="3">
        <v>9.0259771438537098E-2</v>
      </c>
      <c r="BB2" s="3">
        <v>0.103692308080184</v>
      </c>
      <c r="BC2" s="3">
        <v>3.7748009515827699E-2</v>
      </c>
      <c r="BD2" s="3">
        <v>3.4537230155715803E-2</v>
      </c>
      <c r="BE2" s="3">
        <v>4.3061934882219301E-2</v>
      </c>
      <c r="BF2" s="3">
        <v>2.6089464319682199E-3</v>
      </c>
      <c r="BG2" s="3">
        <v>3.8036342632426102E-3</v>
      </c>
      <c r="BH2" s="3">
        <v>1.5933500073561899E-2</v>
      </c>
      <c r="BI2" s="3">
        <v>1.5921141680153E-2</v>
      </c>
      <c r="BJ2">
        <v>0.71824290658008705</v>
      </c>
      <c r="BK2" s="8">
        <v>18030</v>
      </c>
      <c r="BL2" s="3">
        <v>2.9783693843594E-2</v>
      </c>
      <c r="BM2" s="3">
        <v>1.19591440587882E-2</v>
      </c>
      <c r="BN2" s="3">
        <v>1.43516361619523E-2</v>
      </c>
      <c r="BO2" s="13">
        <v>151.76365217054101</v>
      </c>
      <c r="BP2" s="13">
        <v>157.98849820350301</v>
      </c>
      <c r="BQ2" s="13">
        <v>24.250023000943202</v>
      </c>
      <c r="BR2" s="10">
        <v>0.80766091676662899</v>
      </c>
      <c r="BS2" s="10">
        <v>0.84078910747590796</v>
      </c>
      <c r="BT2" s="10">
        <v>0.12905484991284</v>
      </c>
      <c r="BU2" s="10">
        <v>0.46478545106085001</v>
      </c>
      <c r="BV2" s="10">
        <v>0.39214306406872101</v>
      </c>
      <c r="BW2">
        <v>100.569441189063</v>
      </c>
      <c r="BX2">
        <v>4.2931810464496101</v>
      </c>
      <c r="BY2">
        <v>0.108266507692171</v>
      </c>
      <c r="BZ2" s="3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69.562886695446394</v>
      </c>
      <c r="C3">
        <v>236.17714540063201</v>
      </c>
      <c r="D3">
        <v>0</v>
      </c>
      <c r="E3">
        <v>305.74003209607798</v>
      </c>
      <c r="F3">
        <v>296.70202639583499</v>
      </c>
      <c r="G3">
        <v>315.23273539834503</v>
      </c>
      <c r="H3">
        <v>227.02413152662101</v>
      </c>
      <c r="I3">
        <v>245.79688333297301</v>
      </c>
      <c r="J3">
        <v>212.50445534179701</v>
      </c>
      <c r="K3">
        <v>200.04659706000501</v>
      </c>
      <c r="L3">
        <v>227.06245316925299</v>
      </c>
      <c r="M3">
        <v>0</v>
      </c>
      <c r="N3">
        <v>38.281726508560197</v>
      </c>
      <c r="O3" s="4">
        <v>556.52621394643495</v>
      </c>
      <c r="P3" s="4">
        <v>533.79178246234903</v>
      </c>
      <c r="Q3" s="4">
        <v>580.18029528950206</v>
      </c>
      <c r="R3">
        <v>1000</v>
      </c>
      <c r="S3" s="10">
        <v>3.0218086465781401E-2</v>
      </c>
      <c r="T3" s="6">
        <v>15.0295249</v>
      </c>
      <c r="U3" s="6">
        <v>59.811</v>
      </c>
      <c r="V3" s="8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1644.348</v>
      </c>
      <c r="AB3" s="8">
        <v>1054</v>
      </c>
      <c r="AC3" s="6">
        <v>483.38</v>
      </c>
      <c r="AD3">
        <v>1272</v>
      </c>
      <c r="AE3">
        <v>679</v>
      </c>
      <c r="AF3">
        <v>107.844613204007</v>
      </c>
      <c r="AG3" t="s">
        <v>44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1.5369469437198901E-2</v>
      </c>
      <c r="AN3" s="2">
        <v>9.5557979763776901E-4</v>
      </c>
      <c r="AO3">
        <v>0.35168169133559601</v>
      </c>
      <c r="AP3">
        <v>0.64831830866440399</v>
      </c>
      <c r="AQ3">
        <v>0</v>
      </c>
      <c r="AR3" s="3">
        <v>6.6081610140677803E-3</v>
      </c>
      <c r="AS3" s="2">
        <v>2.2435765374188201E-2</v>
      </c>
      <c r="AT3" s="2">
        <v>2.07262412842576E-2</v>
      </c>
      <c r="AU3" s="2">
        <v>2.4232460316479399E-2</v>
      </c>
      <c r="AV3" s="2">
        <v>0</v>
      </c>
      <c r="AW3" s="2">
        <v>2.9043926388255901E-2</v>
      </c>
      <c r="AX3" s="3">
        <v>5.2867484444809799E-2</v>
      </c>
      <c r="AY3" s="3">
        <v>-2.1596686242747799E-3</v>
      </c>
      <c r="AZ3" s="3">
        <v>2.2470312199547602E-3</v>
      </c>
      <c r="BA3" s="3">
        <v>5.0707815820534997E-2</v>
      </c>
      <c r="BB3" s="3">
        <v>5.51145156647646E-2</v>
      </c>
      <c r="BC3" s="3">
        <v>2.0186966410025299E-2</v>
      </c>
      <c r="BD3" s="3">
        <v>1.90035259674665E-2</v>
      </c>
      <c r="BE3" s="3">
        <v>2.15699106530878E-2</v>
      </c>
      <c r="BF3" s="3">
        <v>0</v>
      </c>
      <c r="BG3" s="3">
        <v>3.6365916465285501E-3</v>
      </c>
      <c r="BH3" s="3">
        <v>9.7644037516748591E-3</v>
      </c>
      <c r="BI3" s="3">
        <v>9.1801473872264398E-3</v>
      </c>
      <c r="BJ3">
        <v>0.83196422396733705</v>
      </c>
      <c r="BK3" s="8">
        <v>46337</v>
      </c>
      <c r="BL3" s="3">
        <v>2.2746401363920799E-2</v>
      </c>
      <c r="BM3" s="3">
        <v>5.7157384415277299E-3</v>
      </c>
      <c r="BN3" s="3">
        <v>1.04318363294991E-2</v>
      </c>
      <c r="BO3" s="13">
        <v>448.681600742429</v>
      </c>
      <c r="BP3" s="13">
        <v>448.681600742429</v>
      </c>
      <c r="BQ3" s="13">
        <v>107.844613204007</v>
      </c>
      <c r="BR3" s="10">
        <v>0.80621802907612405</v>
      </c>
      <c r="BS3" s="10">
        <v>0.80621802907612405</v>
      </c>
      <c r="BT3" s="10">
        <v>0.193781970923876</v>
      </c>
      <c r="BU3" s="10">
        <v>0.45062740377243699</v>
      </c>
      <c r="BV3" s="10">
        <v>0.38184038145459498</v>
      </c>
      <c r="BW3">
        <v>305.74003209607798</v>
      </c>
      <c r="BX3">
        <v>3.6566220853739599</v>
      </c>
      <c r="BY3">
        <v>0.227179461966558</v>
      </c>
      <c r="BZ3" s="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22.398763936151902</v>
      </c>
      <c r="C4">
        <v>34.9841914883255</v>
      </c>
      <c r="D4">
        <v>0</v>
      </c>
      <c r="E4">
        <v>57.382955424477501</v>
      </c>
      <c r="F4">
        <v>53.988015443765299</v>
      </c>
      <c r="G4">
        <v>61.131177923985902</v>
      </c>
      <c r="H4">
        <v>31.6444533414933</v>
      </c>
      <c r="I4">
        <v>38.657164834194603</v>
      </c>
      <c r="J4">
        <v>60.257180565308502</v>
      </c>
      <c r="K4">
        <v>53.463952028845497</v>
      </c>
      <c r="L4">
        <v>67.551465447915604</v>
      </c>
      <c r="M4">
        <v>0</v>
      </c>
      <c r="N4">
        <v>16.3695421682262</v>
      </c>
      <c r="O4" s="4">
        <v>134.00967815801201</v>
      </c>
      <c r="P4" s="4">
        <v>123.220259943844</v>
      </c>
      <c r="Q4" s="4">
        <v>145.27448608720499</v>
      </c>
      <c r="R4">
        <v>1000</v>
      </c>
      <c r="S4" s="10">
        <v>5.4478886032379603E-2</v>
      </c>
      <c r="T4" s="6">
        <v>8.0919112099999992</v>
      </c>
      <c r="U4" s="6">
        <v>82.869</v>
      </c>
      <c r="V4" s="8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247.09100000000001</v>
      </c>
      <c r="AB4" s="8">
        <v>239</v>
      </c>
      <c r="AC4" s="6">
        <v>101.22</v>
      </c>
      <c r="AD4">
        <v>316</v>
      </c>
      <c r="AE4">
        <v>233</v>
      </c>
      <c r="AF4">
        <v>38.768306104378098</v>
      </c>
      <c r="AG4" t="s">
        <v>44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3.2237963483667399E-2</v>
      </c>
      <c r="AN4" s="2">
        <v>1.7227736425105299E-3</v>
      </c>
      <c r="AO4">
        <v>0.53308934026289001</v>
      </c>
      <c r="AP4">
        <v>0.46691065973710999</v>
      </c>
      <c r="AQ4">
        <v>0</v>
      </c>
      <c r="AR4" s="3">
        <v>4.6991796745556097E-3</v>
      </c>
      <c r="AS4" s="2">
        <v>7.3395568631071297E-3</v>
      </c>
      <c r="AT4" s="2">
        <v>6.1555041566106203E-3</v>
      </c>
      <c r="AU4" s="2">
        <v>8.6417529754553406E-3</v>
      </c>
      <c r="AV4" s="2">
        <v>0</v>
      </c>
      <c r="AW4" s="2">
        <v>1.20387365376627E-2</v>
      </c>
      <c r="AX4" s="3">
        <v>2.8114745866733602E-2</v>
      </c>
      <c r="AY4" s="3">
        <v>-2.2635809242342502E-3</v>
      </c>
      <c r="AZ4" s="3">
        <v>2.3633159673242502E-3</v>
      </c>
      <c r="BA4" s="3">
        <v>2.58511649424993E-2</v>
      </c>
      <c r="BB4" s="3">
        <v>3.0478061834057799E-2</v>
      </c>
      <c r="BC4" s="3">
        <v>1.2641738578328499E-2</v>
      </c>
      <c r="BD4" s="3">
        <v>1.1216543797306E-2</v>
      </c>
      <c r="BE4" s="3">
        <v>1.41720531688333E-2</v>
      </c>
      <c r="BF4" s="3">
        <v>0</v>
      </c>
      <c r="BG4" s="3">
        <v>3.4342707507423499E-3</v>
      </c>
      <c r="BH4" s="3">
        <v>1.0602157763094E-2</v>
      </c>
      <c r="BI4" s="3">
        <v>9.2242879008474308E-3</v>
      </c>
      <c r="BJ4">
        <v>0.83012067411053403</v>
      </c>
      <c r="BK4" s="8">
        <v>9380</v>
      </c>
      <c r="BL4" s="3">
        <v>2.5479744136460598E-2</v>
      </c>
      <c r="BM4" s="3">
        <v>5.9123831775700899E-3</v>
      </c>
      <c r="BN4" s="3">
        <v>1.0791044776119399E-2</v>
      </c>
      <c r="BO4" s="13">
        <v>95.241372053633995</v>
      </c>
      <c r="BP4" s="13">
        <v>95.241372053633995</v>
      </c>
      <c r="BQ4" s="13">
        <v>38.768306104378098</v>
      </c>
      <c r="BR4" s="10">
        <v>0.71070425344538901</v>
      </c>
      <c r="BS4" s="10">
        <v>0.71070425344538901</v>
      </c>
      <c r="BT4" s="10">
        <v>0.28929574655461099</v>
      </c>
      <c r="BU4" s="10">
        <v>0.57179907206885905</v>
      </c>
      <c r="BV4" s="10">
        <v>0.44964680372869498</v>
      </c>
      <c r="BW4">
        <v>57.382955424477501</v>
      </c>
      <c r="BX4">
        <v>2.1266867136990699</v>
      </c>
      <c r="BY4">
        <v>0.50815846388949104</v>
      </c>
      <c r="BZ4" s="3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30.321138049153799</v>
      </c>
      <c r="C5">
        <v>35.319154773993397</v>
      </c>
      <c r="D5">
        <v>0</v>
      </c>
      <c r="E5">
        <v>65.640292823147206</v>
      </c>
      <c r="F5">
        <v>61.949749423041098</v>
      </c>
      <c r="G5">
        <v>69.534380683580196</v>
      </c>
      <c r="H5">
        <v>31.738067909179801</v>
      </c>
      <c r="I5">
        <v>39.196221616392599</v>
      </c>
      <c r="J5">
        <v>43.947497492867498</v>
      </c>
      <c r="K5">
        <v>39.2626279167958</v>
      </c>
      <c r="L5">
        <v>48.952686500431703</v>
      </c>
      <c r="M5">
        <v>0</v>
      </c>
      <c r="N5">
        <v>21.388091567027899</v>
      </c>
      <c r="O5" s="4">
        <v>130.975881883043</v>
      </c>
      <c r="P5" s="4">
        <v>121.101347234496</v>
      </c>
      <c r="Q5" s="4">
        <v>141.194178621129</v>
      </c>
      <c r="R5">
        <v>1000</v>
      </c>
      <c r="S5" s="10">
        <v>5.4669089094455899E-2</v>
      </c>
      <c r="T5" s="6">
        <v>23.348039</v>
      </c>
      <c r="U5" s="6">
        <v>77.929000000000002</v>
      </c>
      <c r="V5" s="8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275.07100000000003</v>
      </c>
      <c r="AB5" s="8">
        <v>232</v>
      </c>
      <c r="AC5" s="6">
        <v>92.793999999999997</v>
      </c>
      <c r="AD5">
        <v>368</v>
      </c>
      <c r="AE5">
        <v>179</v>
      </c>
      <c r="AF5">
        <v>51.709229616181702</v>
      </c>
      <c r="AG5" t="s">
        <v>44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2.4966815005682701E-2</v>
      </c>
      <c r="AN5" s="2">
        <v>1.72878839145153E-3</v>
      </c>
      <c r="AO5">
        <v>0.70390981137790598</v>
      </c>
      <c r="AP5">
        <v>0.29609018862209502</v>
      </c>
      <c r="AQ5">
        <v>0</v>
      </c>
      <c r="AR5" s="3">
        <v>4.8686437125582301E-3</v>
      </c>
      <c r="AS5" s="2">
        <v>5.6711717266190401E-3</v>
      </c>
      <c r="AT5" s="2">
        <v>4.4120838383736203E-3</v>
      </c>
      <c r="AU5" s="2">
        <v>7.0343243357185899E-3</v>
      </c>
      <c r="AV5" s="2">
        <v>0</v>
      </c>
      <c r="AW5" s="2">
        <v>1.05398154391773E-2</v>
      </c>
      <c r="AX5" s="3">
        <v>2.1030704810383601E-2</v>
      </c>
      <c r="AY5" s="3">
        <v>-1.5855470514711E-3</v>
      </c>
      <c r="AZ5" s="3">
        <v>1.6407446872967501E-3</v>
      </c>
      <c r="BA5" s="3">
        <v>1.94451577589125E-2</v>
      </c>
      <c r="BB5" s="3">
        <v>2.26714494976804E-2</v>
      </c>
      <c r="BC5" s="3">
        <v>7.0566186204639898E-3</v>
      </c>
      <c r="BD5" s="3">
        <v>6.3043724228205797E-3</v>
      </c>
      <c r="BE5" s="3">
        <v>7.8602982828941698E-3</v>
      </c>
      <c r="BF5" s="3">
        <v>0</v>
      </c>
      <c r="BG5" s="3">
        <v>3.4342707507423499E-3</v>
      </c>
      <c r="BH5" s="3">
        <v>6.4638488930174997E-3</v>
      </c>
      <c r="BI5" s="3">
        <v>5.32340532590184E-3</v>
      </c>
      <c r="BJ5">
        <v>0.82662614745293705</v>
      </c>
      <c r="BK5" s="8">
        <v>10777</v>
      </c>
      <c r="BL5" s="3">
        <v>2.1527326714299001E-2</v>
      </c>
      <c r="BM5" s="3">
        <v>4.7175394001016798E-3</v>
      </c>
      <c r="BN5" s="3">
        <v>8.6103739445114597E-3</v>
      </c>
      <c r="BO5" s="13">
        <v>79.266652266860902</v>
      </c>
      <c r="BP5" s="13">
        <v>79.266652266860902</v>
      </c>
      <c r="BQ5" s="13">
        <v>51.709229616181702</v>
      </c>
      <c r="BR5" s="10">
        <v>0.60519882972814698</v>
      </c>
      <c r="BS5" s="10">
        <v>0.60519882972814698</v>
      </c>
      <c r="BT5" s="10">
        <v>0.39480117027185302</v>
      </c>
      <c r="BU5" s="10">
        <v>0.49883610046537502</v>
      </c>
      <c r="BV5" s="10">
        <v>0.335537650521325</v>
      </c>
      <c r="BW5">
        <v>65.640292823147206</v>
      </c>
      <c r="BX5">
        <v>1.7895201042975499</v>
      </c>
      <c r="BY5">
        <v>0.57788260365583499</v>
      </c>
      <c r="BZ5" s="3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27.952418695604401</v>
      </c>
      <c r="C6">
        <v>37.0295047451702</v>
      </c>
      <c r="D6">
        <v>0</v>
      </c>
      <c r="E6">
        <v>64.981923440774494</v>
      </c>
      <c r="F6">
        <v>61.778018855459202</v>
      </c>
      <c r="G6">
        <v>68.904347606810404</v>
      </c>
      <c r="H6">
        <v>33.834367467248398</v>
      </c>
      <c r="I6">
        <v>40.8234562008696</v>
      </c>
      <c r="J6">
        <v>45.0834563344104</v>
      </c>
      <c r="K6">
        <v>41.315582944122397</v>
      </c>
      <c r="L6">
        <v>49.209270198704701</v>
      </c>
      <c r="M6">
        <v>0</v>
      </c>
      <c r="N6">
        <v>20.4353866558872</v>
      </c>
      <c r="O6" s="4">
        <v>130.50076643107201</v>
      </c>
      <c r="P6" s="4">
        <v>121.41992988463301</v>
      </c>
      <c r="Q6" s="4">
        <v>139.83864355631101</v>
      </c>
      <c r="R6">
        <v>1000</v>
      </c>
      <c r="S6" s="10">
        <v>4.8962285090166598E-2</v>
      </c>
      <c r="T6" s="6">
        <v>11.8134085</v>
      </c>
      <c r="U6" s="6">
        <v>68.599000000000004</v>
      </c>
      <c r="V6" s="8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360.05599999999998</v>
      </c>
      <c r="AB6" s="8">
        <v>296</v>
      </c>
      <c r="AC6" s="6">
        <v>124.69799999999999</v>
      </c>
      <c r="AD6">
        <v>477</v>
      </c>
      <c r="AE6">
        <v>232</v>
      </c>
      <c r="AF6">
        <v>48.3878053514916</v>
      </c>
      <c r="AG6" t="s">
        <v>44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2.2285149036897101E-2</v>
      </c>
      <c r="AN6" s="2">
        <v>1.5483234033142901E-3</v>
      </c>
      <c r="AO6">
        <v>0.70526178368123005</v>
      </c>
      <c r="AP6">
        <v>0.29473821631877001</v>
      </c>
      <c r="AQ6">
        <v>0</v>
      </c>
      <c r="AR6" s="3">
        <v>4.6975462493224901E-3</v>
      </c>
      <c r="AS6" s="2">
        <v>6.2229967654747901E-3</v>
      </c>
      <c r="AT6" s="2">
        <v>5.0432539822956304E-3</v>
      </c>
      <c r="AU6" s="2">
        <v>7.6238401284569003E-3</v>
      </c>
      <c r="AV6" s="2">
        <v>0</v>
      </c>
      <c r="AW6" s="2">
        <v>1.09205430147973E-2</v>
      </c>
      <c r="AX6" s="3">
        <v>2.1931318092998999E-2</v>
      </c>
      <c r="AY6" s="3">
        <v>-1.52608080624318E-3</v>
      </c>
      <c r="AZ6" s="3">
        <v>1.56927778393639E-3</v>
      </c>
      <c r="BA6" s="3">
        <v>2.04052372867559E-2</v>
      </c>
      <c r="BB6" s="3">
        <v>2.3500595876935398E-2</v>
      </c>
      <c r="BC6" s="3">
        <v>7.5765043274594003E-3</v>
      </c>
      <c r="BD6" s="3">
        <v>6.9432940244363896E-3</v>
      </c>
      <c r="BE6" s="3">
        <v>8.2698683491805695E-3</v>
      </c>
      <c r="BF6" s="3">
        <v>0</v>
      </c>
      <c r="BG6" s="3">
        <v>3.4342707507423499E-3</v>
      </c>
      <c r="BH6" s="3">
        <v>8.2610163433087802E-3</v>
      </c>
      <c r="BI6" s="3">
        <v>7.1500685108326599E-3</v>
      </c>
      <c r="BJ6">
        <v>0.80381133931294302</v>
      </c>
      <c r="BK6" s="8">
        <v>10432</v>
      </c>
      <c r="BL6" s="3">
        <v>2.83742331288344E-2</v>
      </c>
      <c r="BM6" s="3">
        <v>6.5492647058823499E-3</v>
      </c>
      <c r="BN6" s="3">
        <v>1.1953412576687099E-2</v>
      </c>
      <c r="BO6" s="13">
        <v>82.1129610795806</v>
      </c>
      <c r="BP6" s="13">
        <v>82.1129610795806</v>
      </c>
      <c r="BQ6" s="13">
        <v>48.3878053514916</v>
      </c>
      <c r="BR6" s="10">
        <v>0.62921404074455201</v>
      </c>
      <c r="BS6" s="10">
        <v>0.62921404074455201</v>
      </c>
      <c r="BT6" s="10">
        <v>0.37078595925544799</v>
      </c>
      <c r="BU6" s="10">
        <v>0.502056780797836</v>
      </c>
      <c r="BV6" s="10">
        <v>0.34546440626609798</v>
      </c>
      <c r="BW6">
        <v>64.981923440774494</v>
      </c>
      <c r="BX6">
        <v>1.86865059909159</v>
      </c>
      <c r="BY6">
        <v>0.57040161953604296</v>
      </c>
      <c r="BZ6" s="3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2.57809928951548</v>
      </c>
      <c r="C7">
        <v>2.3866348273873199</v>
      </c>
      <c r="D7">
        <v>0</v>
      </c>
      <c r="E7">
        <v>4.9647341169028101</v>
      </c>
      <c r="F7">
        <v>4.2076753952874499</v>
      </c>
      <c r="G7">
        <v>5.8816704172435603</v>
      </c>
      <c r="H7">
        <v>1.6398040131376399</v>
      </c>
      <c r="I7">
        <v>3.2973498144014899</v>
      </c>
      <c r="J7">
        <v>4.7872084747405603</v>
      </c>
      <c r="K7">
        <v>3.6665270811960302</v>
      </c>
      <c r="L7">
        <v>6.2580107882786704</v>
      </c>
      <c r="M7">
        <v>0</v>
      </c>
      <c r="N7">
        <v>1.1897865990230101</v>
      </c>
      <c r="O7" s="4">
        <v>10.9417291906664</v>
      </c>
      <c r="P7" s="4">
        <v>9.3638958300430009</v>
      </c>
      <c r="Q7" s="4">
        <v>12.919990442598801</v>
      </c>
      <c r="R7">
        <v>1000</v>
      </c>
      <c r="S7" s="10">
        <v>0.10291268589757201</v>
      </c>
      <c r="T7" s="6">
        <v>9</v>
      </c>
      <c r="U7" s="6">
        <v>41.204999999999998</v>
      </c>
      <c r="V7" s="8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68.984999999999999</v>
      </c>
      <c r="AB7" s="8">
        <v>40</v>
      </c>
      <c r="AC7" s="6">
        <v>15.071999999999999</v>
      </c>
      <c r="AD7">
        <v>48</v>
      </c>
      <c r="AE7">
        <v>36</v>
      </c>
      <c r="AF7">
        <v>3.76788588853849</v>
      </c>
      <c r="AG7" t="s">
        <v>44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7.3598209802262698E-2</v>
      </c>
      <c r="AN7" s="2">
        <v>3.2543848756181799E-3</v>
      </c>
      <c r="AO7">
        <v>0.75007170727446604</v>
      </c>
      <c r="AP7">
        <v>0.24992829272553499</v>
      </c>
      <c r="AQ7">
        <v>0</v>
      </c>
      <c r="AR7" s="3">
        <v>9.7296327881217694E-3</v>
      </c>
      <c r="AS7" s="2">
        <v>9.0070543691841594E-3</v>
      </c>
      <c r="AT7" s="2">
        <v>5.06592490678715E-3</v>
      </c>
      <c r="AU7" s="2">
        <v>1.38130232696159E-2</v>
      </c>
      <c r="AV7" s="2">
        <v>0</v>
      </c>
      <c r="AW7" s="2">
        <v>1.8736687157305899E-2</v>
      </c>
      <c r="AX7" s="3">
        <v>4.1293602432303601E-2</v>
      </c>
      <c r="AY7" s="3">
        <v>-5.9546733759034999E-3</v>
      </c>
      <c r="AZ7" s="3">
        <v>7.4658705421270398E-3</v>
      </c>
      <c r="BA7" s="3">
        <v>3.5338929056400098E-2</v>
      </c>
      <c r="BB7" s="3">
        <v>4.8759472974430597E-2</v>
      </c>
      <c r="BC7" s="3">
        <v>1.8066713228940001E-2</v>
      </c>
      <c r="BD7" s="3">
        <v>1.38373111744838E-2</v>
      </c>
      <c r="BE7" s="3">
        <v>2.3617456163024301E-2</v>
      </c>
      <c r="BF7" s="3">
        <v>0</v>
      </c>
      <c r="BG7" s="3">
        <v>4.4902020460576304E-3</v>
      </c>
      <c r="BH7" s="3">
        <v>1.6561276723878399E-3</v>
      </c>
      <c r="BI7" s="3">
        <v>1.48373983739837E-3</v>
      </c>
      <c r="BJ7">
        <v>0.98844529147688998</v>
      </c>
      <c r="BK7" s="8">
        <v>23779</v>
      </c>
      <c r="BL7" s="3">
        <v>1.6821565246646201E-3</v>
      </c>
      <c r="BM7" s="3">
        <v>3.6276987508123299E-4</v>
      </c>
      <c r="BN7" s="3">
        <v>6.3383657849362901E-4</v>
      </c>
      <c r="BO7" s="13">
        <v>7.1738433021278798</v>
      </c>
      <c r="BP7" s="13">
        <v>7.1738433021278798</v>
      </c>
      <c r="BQ7" s="13">
        <v>3.76788588853849</v>
      </c>
      <c r="BR7" s="10">
        <v>0.65563968443217002</v>
      </c>
      <c r="BS7" s="10">
        <v>0.65563968443217002</v>
      </c>
      <c r="BT7" s="10">
        <v>0.34436031556782998</v>
      </c>
      <c r="BU7" s="10">
        <v>0.54625622502639704</v>
      </c>
      <c r="BV7" s="10">
        <v>0.43751708689206598</v>
      </c>
      <c r="BW7">
        <v>4.9647341169028101</v>
      </c>
      <c r="BX7">
        <v>1.90348457747356</v>
      </c>
      <c r="BY7">
        <v>1.11431917204166E-2</v>
      </c>
      <c r="BZ7" s="3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2.6770724804724901</v>
      </c>
      <c r="C8">
        <v>4.4934669595024301</v>
      </c>
      <c r="D8">
        <v>0</v>
      </c>
      <c r="E8">
        <v>7.1705394399749096</v>
      </c>
      <c r="F8">
        <v>6.3948931317127196</v>
      </c>
      <c r="G8">
        <v>8.0756842358457703</v>
      </c>
      <c r="H8">
        <v>3.7270122127988401</v>
      </c>
      <c r="I8">
        <v>5.3963915788276102</v>
      </c>
      <c r="J8">
        <v>7.4184415515701696</v>
      </c>
      <c r="K8">
        <v>6.1618502745693204</v>
      </c>
      <c r="L8">
        <v>8.7972181602037303</v>
      </c>
      <c r="M8">
        <v>0</v>
      </c>
      <c r="N8">
        <v>1.2427774853092</v>
      </c>
      <c r="O8" s="4">
        <v>15.831758476854301</v>
      </c>
      <c r="P8" s="4">
        <v>14.144585115409701</v>
      </c>
      <c r="Q8" s="4">
        <v>17.7447736109503</v>
      </c>
      <c r="R8">
        <v>1000</v>
      </c>
      <c r="S8" s="10">
        <v>0.117001700048325</v>
      </c>
      <c r="T8" s="6">
        <v>11</v>
      </c>
      <c r="U8" s="6">
        <v>42.185000000000002</v>
      </c>
      <c r="V8" s="8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80.051000000000002</v>
      </c>
      <c r="AB8" s="8">
        <v>54</v>
      </c>
      <c r="AC8" s="6">
        <v>15.958</v>
      </c>
      <c r="AD8">
        <v>144</v>
      </c>
      <c r="AE8">
        <v>89</v>
      </c>
      <c r="AF8">
        <v>3.9198499657816801</v>
      </c>
      <c r="AG8" t="s">
        <v>44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5.3582901283532498E-2</v>
      </c>
      <c r="AN8" s="2">
        <v>3.6999186226453901E-3</v>
      </c>
      <c r="AO8">
        <v>0.34370241750226199</v>
      </c>
      <c r="AP8">
        <v>0.65629758249773695</v>
      </c>
      <c r="AQ8">
        <v>0</v>
      </c>
      <c r="AR8" s="3">
        <v>9.4042640505672993E-3</v>
      </c>
      <c r="AS8" s="2">
        <v>1.5785060022806101E-2</v>
      </c>
      <c r="AT8" s="2">
        <v>9.90587469956139E-3</v>
      </c>
      <c r="AU8" s="2">
        <v>2.2711054274604899E-2</v>
      </c>
      <c r="AV8" s="2">
        <v>0</v>
      </c>
      <c r="AW8" s="2">
        <v>2.51893240733734E-2</v>
      </c>
      <c r="AX8" s="3">
        <v>5.5615243213313202E-2</v>
      </c>
      <c r="AY8" s="3">
        <v>-5.9268562602785204E-3</v>
      </c>
      <c r="AZ8" s="3">
        <v>6.7202138100478804E-3</v>
      </c>
      <c r="BA8" s="3">
        <v>4.9688386953034701E-2</v>
      </c>
      <c r="BB8" s="3">
        <v>6.2335457023361102E-2</v>
      </c>
      <c r="BC8" s="3">
        <v>2.6060177191150599E-2</v>
      </c>
      <c r="BD8" s="3">
        <v>2.1645908896677699E-2</v>
      </c>
      <c r="BE8" s="3">
        <v>3.0903669247834602E-2</v>
      </c>
      <c r="BF8" s="3">
        <v>0</v>
      </c>
      <c r="BG8" s="3">
        <v>4.3657419487891404E-3</v>
      </c>
      <c r="BH8" s="3">
        <v>7.8072516658496296E-4</v>
      </c>
      <c r="BI8" s="3">
        <v>7.2671895709642902E-4</v>
      </c>
      <c r="BJ8">
        <v>0.98466373915366401</v>
      </c>
      <c r="BK8" s="8">
        <v>23103</v>
      </c>
      <c r="BL8" s="3">
        <v>2.33735878457343E-3</v>
      </c>
      <c r="BM8" s="3">
        <v>3.9534249969032598E-4</v>
      </c>
      <c r="BN8" s="3">
        <v>6.9073280526338603E-4</v>
      </c>
      <c r="BO8" s="13">
        <v>11.9119085110726</v>
      </c>
      <c r="BP8" s="13">
        <v>11.9119085110726</v>
      </c>
      <c r="BQ8" s="13">
        <v>3.9198499657816801</v>
      </c>
      <c r="BR8" s="10">
        <v>0.75240361115694099</v>
      </c>
      <c r="BS8" s="10">
        <v>0.75240361115694099</v>
      </c>
      <c r="BT8" s="10">
        <v>0.24759638884305901</v>
      </c>
      <c r="BU8" s="10">
        <v>0.54707715624613396</v>
      </c>
      <c r="BV8" s="10">
        <v>0.46857746310762499</v>
      </c>
      <c r="BW8">
        <v>7.1705394399749096</v>
      </c>
      <c r="BX8">
        <v>2.63742483787594</v>
      </c>
      <c r="BY8">
        <v>1.2321595201539901E-2</v>
      </c>
      <c r="BZ8" s="3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1.8910147032159901</v>
      </c>
      <c r="C9">
        <v>2.5556404123938901</v>
      </c>
      <c r="D9">
        <v>0</v>
      </c>
      <c r="E9">
        <v>4.4466551156098797</v>
      </c>
      <c r="F9">
        <v>3.8757147999684798</v>
      </c>
      <c r="G9">
        <v>5.2930906647543701</v>
      </c>
      <c r="H9">
        <v>1.9898395815888901</v>
      </c>
      <c r="I9">
        <v>3.4036789271827801</v>
      </c>
      <c r="J9">
        <v>3.8313754900743699</v>
      </c>
      <c r="K9">
        <v>2.9730301190757502</v>
      </c>
      <c r="L9">
        <v>5.0771715593870903</v>
      </c>
      <c r="M9">
        <v>0</v>
      </c>
      <c r="N9">
        <v>0.922322870866917</v>
      </c>
      <c r="O9" s="4">
        <v>9.2003534765511699</v>
      </c>
      <c r="P9" s="4">
        <v>7.9416575159838301</v>
      </c>
      <c r="Q9" s="4">
        <v>10.894262211638599</v>
      </c>
      <c r="R9">
        <v>1000</v>
      </c>
      <c r="S9" s="10">
        <v>0.20287695923356799</v>
      </c>
      <c r="T9" s="6">
        <v>20.646401600000001</v>
      </c>
      <c r="U9" s="6">
        <v>38.238248112000001</v>
      </c>
      <c r="V9" s="8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45.335999999999999</v>
      </c>
      <c r="AB9" s="8">
        <v>27</v>
      </c>
      <c r="AC9" s="6">
        <v>8.0670000000000002</v>
      </c>
      <c r="AD9">
        <v>63</v>
      </c>
      <c r="AE9">
        <v>34</v>
      </c>
      <c r="AF9">
        <v>2.8133375740829001</v>
      </c>
      <c r="AG9" t="s">
        <v>44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7.5492700417162703E-2</v>
      </c>
      <c r="AN9" s="2">
        <v>6.4155327594720302E-3</v>
      </c>
      <c r="AO9">
        <v>0.44634679913971698</v>
      </c>
      <c r="AP9">
        <v>0.55365320086028302</v>
      </c>
      <c r="AQ9">
        <v>0</v>
      </c>
      <c r="AR9" s="3">
        <v>7.7110852926598403E-3</v>
      </c>
      <c r="AS9" s="2">
        <v>1.04212628087043E-2</v>
      </c>
      <c r="AT9" s="2">
        <v>4.2209735848674403E-3</v>
      </c>
      <c r="AU9" s="2">
        <v>1.9714434148101301E-2</v>
      </c>
      <c r="AV9" s="2">
        <v>0</v>
      </c>
      <c r="AW9" s="2">
        <v>1.8132348101364101E-2</v>
      </c>
      <c r="AX9" s="3">
        <v>3.75167418104429E-2</v>
      </c>
      <c r="AY9" s="3">
        <v>-5.1326475108599903E-3</v>
      </c>
      <c r="AZ9" s="3">
        <v>6.9073364220948201E-3</v>
      </c>
      <c r="BA9" s="3">
        <v>3.2384094299582902E-2</v>
      </c>
      <c r="BB9" s="3">
        <v>4.4424078232537703E-2</v>
      </c>
      <c r="BC9" s="3">
        <v>1.5623391580152799E-2</v>
      </c>
      <c r="BD9" s="3">
        <v>1.21232737042454E-2</v>
      </c>
      <c r="BE9" s="3">
        <v>2.0703436558858399E-2</v>
      </c>
      <c r="BF9" s="3">
        <v>0</v>
      </c>
      <c r="BG9" s="3">
        <v>3.7610021289259899E-3</v>
      </c>
      <c r="BH9" s="3">
        <v>4.0089198466588199E-4</v>
      </c>
      <c r="BI9" s="3">
        <v>3.7864247951692503E-4</v>
      </c>
      <c r="BJ9">
        <v>0.98539646916920698</v>
      </c>
      <c r="BK9" s="8">
        <v>16579</v>
      </c>
      <c r="BL9" s="3">
        <v>1.6285662585198101E-3</v>
      </c>
      <c r="BM9" s="3">
        <v>2.4378966455122401E-4</v>
      </c>
      <c r="BN9" s="3">
        <v>4.8657940768441997E-4</v>
      </c>
      <c r="BO9" s="13">
        <v>6.3870159024682698</v>
      </c>
      <c r="BP9" s="13">
        <v>6.3870159024682698</v>
      </c>
      <c r="BQ9" s="13">
        <v>2.8133375740829001</v>
      </c>
      <c r="BR9" s="10">
        <v>0.69418964067142996</v>
      </c>
      <c r="BS9" s="10">
        <v>0.69418964067142996</v>
      </c>
      <c r="BT9" s="10">
        <v>0.30581035932856998</v>
      </c>
      <c r="BU9" s="10">
        <v>0.51666912284756195</v>
      </c>
      <c r="BV9" s="10">
        <v>0.41641213108688302</v>
      </c>
      <c r="BW9">
        <v>4.4466551156098797</v>
      </c>
      <c r="BX9">
        <v>2.3171751465541401</v>
      </c>
      <c r="BY9">
        <v>1.4791801399425099E-2</v>
      </c>
      <c r="BZ9" s="3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1.8153271293898701</v>
      </c>
      <c r="C10">
        <v>3.84964946868471</v>
      </c>
      <c r="D10">
        <v>0</v>
      </c>
      <c r="E10">
        <v>5.6649765980745803</v>
      </c>
      <c r="F10">
        <v>5.0284505601111302</v>
      </c>
      <c r="G10">
        <v>6.4800611404348896</v>
      </c>
      <c r="H10">
        <v>3.2100548674404199</v>
      </c>
      <c r="I10">
        <v>4.6728375851292903</v>
      </c>
      <c r="J10">
        <v>4.1948633592846196</v>
      </c>
      <c r="K10">
        <v>3.5413521255257998</v>
      </c>
      <c r="L10">
        <v>5.0460511674250803</v>
      </c>
      <c r="M10">
        <v>0</v>
      </c>
      <c r="N10">
        <v>0.87037444810168496</v>
      </c>
      <c r="O10" s="4">
        <v>10.730214405460901</v>
      </c>
      <c r="P10" s="4">
        <v>9.5910279520085506</v>
      </c>
      <c r="Q10" s="4">
        <v>12.0809859563426</v>
      </c>
      <c r="R10">
        <v>1000</v>
      </c>
      <c r="S10" s="10">
        <v>0.147504225491674</v>
      </c>
      <c r="T10" s="6">
        <v>23.632191899999999</v>
      </c>
      <c r="U10" s="6">
        <v>35.693643838</v>
      </c>
      <c r="V10" s="8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90.486000000000004</v>
      </c>
      <c r="AB10" s="8">
        <v>39</v>
      </c>
      <c r="AC10" s="6">
        <v>13.305999999999999</v>
      </c>
      <c r="AD10">
        <v>151</v>
      </c>
      <c r="AE10">
        <v>65</v>
      </c>
      <c r="AF10">
        <v>2.6857015774915598</v>
      </c>
      <c r="AG10" t="s">
        <v>44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5.39730945012604E-2</v>
      </c>
      <c r="AN10" s="2">
        <v>4.6644931705276003E-3</v>
      </c>
      <c r="AO10">
        <v>0.25456728024309</v>
      </c>
      <c r="AP10">
        <v>0.74543271975691205</v>
      </c>
      <c r="AQ10">
        <v>0</v>
      </c>
      <c r="AR10" s="3">
        <v>7.8442665834495794E-3</v>
      </c>
      <c r="AS10" s="2">
        <v>1.66348401873701E-2</v>
      </c>
      <c r="AT10" s="2">
        <v>9.0816681168637801E-3</v>
      </c>
      <c r="AU10" s="2">
        <v>2.6356125322994899E-2</v>
      </c>
      <c r="AV10" s="2">
        <v>0</v>
      </c>
      <c r="AW10" s="2">
        <v>2.44791067708197E-2</v>
      </c>
      <c r="AX10" s="3">
        <v>4.6366663578864598E-2</v>
      </c>
      <c r="AY10" s="3">
        <v>-4.9225740553648601E-3</v>
      </c>
      <c r="AZ10" s="3">
        <v>5.8368610080858502E-3</v>
      </c>
      <c r="BA10" s="3">
        <v>4.1444089523499698E-2</v>
      </c>
      <c r="BB10" s="3">
        <v>5.2203524586950399E-2</v>
      </c>
      <c r="BC10" s="3">
        <v>1.81265546791189E-2</v>
      </c>
      <c r="BD10" s="3">
        <v>1.53026469382556E-2</v>
      </c>
      <c r="BE10" s="3">
        <v>2.1804648820685502E-2</v>
      </c>
      <c r="BF10" s="3">
        <v>0</v>
      </c>
      <c r="BG10" s="3">
        <v>3.7610021289259899E-3</v>
      </c>
      <c r="BH10" s="3">
        <v>7.8699285008623397E-4</v>
      </c>
      <c r="BI10" s="3">
        <v>7.5757271311598898E-4</v>
      </c>
      <c r="BJ10">
        <v>0.98554215700401404</v>
      </c>
      <c r="BK10" s="8">
        <v>15992</v>
      </c>
      <c r="BL10" s="3">
        <v>2.4387193596798399E-3</v>
      </c>
      <c r="BM10" s="3">
        <v>4.1686769635640198E-4</v>
      </c>
      <c r="BN10" s="3">
        <v>8.3204102051025501E-4</v>
      </c>
      <c r="BO10" s="13">
        <v>8.0445128279693208</v>
      </c>
      <c r="BP10" s="13">
        <v>8.0445128279693208</v>
      </c>
      <c r="BQ10" s="13">
        <v>2.6857015774915598</v>
      </c>
      <c r="BR10" s="10">
        <v>0.749700166626181</v>
      </c>
      <c r="BS10" s="10">
        <v>0.749700166626181</v>
      </c>
      <c r="BT10" s="10">
        <v>0.250299833373819</v>
      </c>
      <c r="BU10" s="10">
        <v>0.47205065368153798</v>
      </c>
      <c r="BV10" s="10">
        <v>0.39093418033475702</v>
      </c>
      <c r="BW10">
        <v>5.6649765980745803</v>
      </c>
      <c r="BX10">
        <v>3.0755197061560602</v>
      </c>
      <c r="BY10">
        <v>1.44710409482816E-2</v>
      </c>
      <c r="BZ10" s="3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1.72828049770018</v>
      </c>
      <c r="C11">
        <v>1.7377402123888099</v>
      </c>
      <c r="D11">
        <v>0</v>
      </c>
      <c r="E11">
        <v>3.4660207100889902</v>
      </c>
      <c r="F11">
        <v>3.0228589276847302</v>
      </c>
      <c r="G11">
        <v>3.9722789992005301</v>
      </c>
      <c r="H11">
        <v>1.3001711828029101</v>
      </c>
      <c r="I11">
        <v>2.2378235539688198</v>
      </c>
      <c r="J11">
        <v>0.78481578261215801</v>
      </c>
      <c r="K11">
        <v>0.54959351221978503</v>
      </c>
      <c r="L11">
        <v>1.0503954193121701</v>
      </c>
      <c r="M11">
        <v>0</v>
      </c>
      <c r="N11">
        <v>0.74474802017904296</v>
      </c>
      <c r="O11" s="4">
        <v>4.9955845128801899</v>
      </c>
      <c r="P11" s="4">
        <v>4.3518135496060699</v>
      </c>
      <c r="Q11" s="4">
        <v>5.6772637972200704</v>
      </c>
      <c r="R11">
        <v>1000</v>
      </c>
      <c r="S11" s="10">
        <v>0.10928701857945</v>
      </c>
      <c r="T11" s="6">
        <v>15.958829700000001</v>
      </c>
      <c r="U11" s="6">
        <v>22.65</v>
      </c>
      <c r="V11" s="8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41.375</v>
      </c>
      <c r="AB11" s="8">
        <v>35</v>
      </c>
      <c r="AC11" s="6">
        <v>15.727</v>
      </c>
      <c r="AD11">
        <v>17</v>
      </c>
      <c r="AE11">
        <v>12</v>
      </c>
      <c r="AF11">
        <v>2.4730285178792299</v>
      </c>
      <c r="AG11" t="s">
        <v>44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5.7830912498478999E-2</v>
      </c>
      <c r="AN11" s="2">
        <v>3.45595897400201E-3</v>
      </c>
      <c r="AO11">
        <v>0.42525237344744099</v>
      </c>
      <c r="AP11">
        <v>0.57474762655255796</v>
      </c>
      <c r="AQ11">
        <v>0</v>
      </c>
      <c r="AR11" s="3">
        <v>8.7278736634560008E-3</v>
      </c>
      <c r="AS11" s="2">
        <v>8.7756455354435197E-3</v>
      </c>
      <c r="AT11" s="2">
        <v>4.5997528347560702E-3</v>
      </c>
      <c r="AU11" s="2">
        <v>1.35481368102846E-2</v>
      </c>
      <c r="AV11" s="2">
        <v>0</v>
      </c>
      <c r="AW11" s="2">
        <v>1.75035191988995E-2</v>
      </c>
      <c r="AX11" s="3">
        <v>2.5227866981983101E-2</v>
      </c>
      <c r="AY11" s="3">
        <v>-3.2510646524882901E-3</v>
      </c>
      <c r="AZ11" s="3">
        <v>3.4425029274071299E-3</v>
      </c>
      <c r="BA11" s="3">
        <v>2.19768023294948E-2</v>
      </c>
      <c r="BB11" s="3">
        <v>2.86703699093902E-2</v>
      </c>
      <c r="BC11" s="3">
        <v>3.9633456541575398E-3</v>
      </c>
      <c r="BD11" s="3">
        <v>2.7754654104425801E-3</v>
      </c>
      <c r="BE11" s="3">
        <v>5.3045316015710199E-3</v>
      </c>
      <c r="BF11" s="3">
        <v>0</v>
      </c>
      <c r="BG11" s="3">
        <v>3.7610021289259899E-3</v>
      </c>
      <c r="BH11" s="3">
        <v>7.8604518923619797E-4</v>
      </c>
      <c r="BI11" s="3">
        <v>6.9197063201378102E-4</v>
      </c>
      <c r="BJ11">
        <v>0.95976674535051998</v>
      </c>
      <c r="BK11" s="8">
        <v>16743</v>
      </c>
      <c r="BL11" s="3">
        <v>2.0904258496087899E-3</v>
      </c>
      <c r="BM11" s="3">
        <v>4.7061463881740398E-4</v>
      </c>
      <c r="BN11" s="3">
        <v>9.3931792390849903E-4</v>
      </c>
      <c r="BO11" s="13">
        <v>2.5225559950009702</v>
      </c>
      <c r="BP11" s="13">
        <v>2.5225559950009702</v>
      </c>
      <c r="BQ11" s="13">
        <v>2.4730285178792299</v>
      </c>
      <c r="BR11" s="10">
        <v>0.50494697514300302</v>
      </c>
      <c r="BS11" s="10">
        <v>0.50494697514300302</v>
      </c>
      <c r="BT11" s="10">
        <v>0.49505302485699698</v>
      </c>
      <c r="BU11" s="10">
        <v>0.30618290525016501</v>
      </c>
      <c r="BV11" s="10">
        <v>0.15709834126969499</v>
      </c>
      <c r="BW11">
        <v>3.4660207100889902</v>
      </c>
      <c r="BX11">
        <v>1.9248010180902</v>
      </c>
      <c r="BY11">
        <v>1.1826942922271599E-2</v>
      </c>
      <c r="BZ11" s="3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12.2344682455313</v>
      </c>
      <c r="C12">
        <v>2.32004208088942</v>
      </c>
      <c r="D12">
        <v>0</v>
      </c>
      <c r="E12">
        <v>14.5545103264208</v>
      </c>
      <c r="F12">
        <v>13.8222717905115</v>
      </c>
      <c r="G12">
        <v>15.414168748103201</v>
      </c>
      <c r="H12">
        <v>1.6529575998972801</v>
      </c>
      <c r="I12">
        <v>3.1666955847725702</v>
      </c>
      <c r="J12">
        <v>0.69767268673269101</v>
      </c>
      <c r="K12">
        <v>0.46040083722647701</v>
      </c>
      <c r="L12">
        <v>1.0375998399258699</v>
      </c>
      <c r="M12">
        <v>0</v>
      </c>
      <c r="N12">
        <v>6.2465240391779702</v>
      </c>
      <c r="O12" s="4">
        <v>21.498707052331401</v>
      </c>
      <c r="P12" s="4">
        <v>19.5851267533689</v>
      </c>
      <c r="Q12" s="4">
        <v>23.5320868458255</v>
      </c>
      <c r="R12">
        <v>1000</v>
      </c>
      <c r="S12" s="10">
        <v>4.8155172039898199E-2</v>
      </c>
      <c r="T12" s="6">
        <v>11.1023447</v>
      </c>
      <c r="U12" s="6">
        <v>74.394000000000005</v>
      </c>
      <c r="V12" s="8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27.303000000000001</v>
      </c>
      <c r="AB12" s="8">
        <v>27</v>
      </c>
      <c r="AC12" s="6">
        <v>8.4730000000000008</v>
      </c>
      <c r="AD12">
        <v>24</v>
      </c>
      <c r="AE12">
        <v>9</v>
      </c>
      <c r="AF12">
        <v>18.480992284709298</v>
      </c>
      <c r="AG12" t="s">
        <v>44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2.1352751344466001E-2</v>
      </c>
      <c r="AN12" s="2">
        <v>1.52280024763335E-3</v>
      </c>
      <c r="AO12">
        <v>0.89945090903104996</v>
      </c>
      <c r="AP12">
        <v>0.100549090968951</v>
      </c>
      <c r="AQ12">
        <v>0</v>
      </c>
      <c r="AR12" s="3">
        <v>6.1252137723581696E-3</v>
      </c>
      <c r="AS12" s="2">
        <v>1.16153423435504E-3</v>
      </c>
      <c r="AT12" s="2">
        <v>4.0834156282867901E-4</v>
      </c>
      <c r="AU12" s="2">
        <v>2.1174749474390702E-3</v>
      </c>
      <c r="AV12" s="2">
        <v>0</v>
      </c>
      <c r="AW12" s="2">
        <v>7.2867480067132099E-3</v>
      </c>
      <c r="AX12" s="3">
        <v>1.0763375561739799E-2</v>
      </c>
      <c r="AY12" s="3">
        <v>-9.5803823807380398E-4</v>
      </c>
      <c r="AZ12" s="3">
        <v>1.0180161217954E-3</v>
      </c>
      <c r="BA12" s="3">
        <v>9.8053373236660305E-3</v>
      </c>
      <c r="BB12" s="3">
        <v>1.1781391683535199E-2</v>
      </c>
      <c r="BC12" s="3">
        <v>3.4929138427688202E-4</v>
      </c>
      <c r="BD12" s="3">
        <v>2.30500704435183E-4</v>
      </c>
      <c r="BE12" s="3">
        <v>5.1947667051503504E-4</v>
      </c>
      <c r="BF12" s="3">
        <v>0</v>
      </c>
      <c r="BG12" s="3">
        <v>3.12733617074974E-3</v>
      </c>
      <c r="BH12" s="3">
        <v>9.2155906109394497E-4</v>
      </c>
      <c r="BI12" s="3">
        <v>7.4003903073670502E-4</v>
      </c>
      <c r="BJ12">
        <v>0.97700712396600997</v>
      </c>
      <c r="BK12" s="8">
        <v>7254</v>
      </c>
      <c r="BL12" s="3">
        <v>3.7220843672456602E-3</v>
      </c>
      <c r="BM12" s="3">
        <v>7.2598749036072304E-4</v>
      </c>
      <c r="BN12" s="3">
        <v>1.1680452164323099E-3</v>
      </c>
      <c r="BO12" s="13">
        <v>3.0177147676221101</v>
      </c>
      <c r="BP12" s="13">
        <v>3.0177147676221101</v>
      </c>
      <c r="BQ12" s="13">
        <v>18.480992284709298</v>
      </c>
      <c r="BR12" s="10">
        <v>0.14036514686714099</v>
      </c>
      <c r="BS12" s="10">
        <v>0.14036514686714099</v>
      </c>
      <c r="BT12" s="10">
        <v>0.85963485313285903</v>
      </c>
      <c r="BU12" s="10">
        <v>0.32300551645421699</v>
      </c>
      <c r="BV12" s="10">
        <v>3.2451303663847998E-2</v>
      </c>
      <c r="BW12">
        <v>14.5545103264208</v>
      </c>
      <c r="BX12">
        <v>1.1622844299966699</v>
      </c>
      <c r="BY12">
        <v>0.27535077075675701</v>
      </c>
      <c r="BZ12" s="3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12.339325457803101</v>
      </c>
      <c r="C13">
        <v>2.31567481913845</v>
      </c>
      <c r="D13">
        <v>0</v>
      </c>
      <c r="E13">
        <v>14.6550002769415</v>
      </c>
      <c r="F13">
        <v>13.855377084259899</v>
      </c>
      <c r="G13">
        <v>15.658203812765301</v>
      </c>
      <c r="H13">
        <v>1.57857753857731</v>
      </c>
      <c r="I13">
        <v>3.3169494002220201</v>
      </c>
      <c r="J13">
        <v>2.3299624821523701</v>
      </c>
      <c r="K13">
        <v>1.55839064845091</v>
      </c>
      <c r="L13">
        <v>4.1121016637948404</v>
      </c>
      <c r="M13">
        <v>0</v>
      </c>
      <c r="N13">
        <v>6.1693766305727804</v>
      </c>
      <c r="O13" s="4">
        <v>23.154339389666699</v>
      </c>
      <c r="P13" s="4">
        <v>20.830723297438201</v>
      </c>
      <c r="Q13" s="4">
        <v>26.206327527302999</v>
      </c>
      <c r="R13">
        <v>1000</v>
      </c>
      <c r="S13" s="10">
        <v>8.9696530401577407E-2</v>
      </c>
      <c r="T13" s="6">
        <v>10.160212599999999</v>
      </c>
      <c r="U13" s="6">
        <v>67.632999999999996</v>
      </c>
      <c r="V13" s="8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31.439</v>
      </c>
      <c r="AB13" s="8">
        <v>33</v>
      </c>
      <c r="AC13" s="6">
        <v>8.4979999999999993</v>
      </c>
      <c r="AD13">
        <v>29</v>
      </c>
      <c r="AE13">
        <v>21</v>
      </c>
      <c r="AF13">
        <v>18.508702088375799</v>
      </c>
      <c r="AG13" t="s">
        <v>44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3.7239154836801097E-2</v>
      </c>
      <c r="AN13" s="2">
        <v>2.8364533428352199E-3</v>
      </c>
      <c r="AO13">
        <v>0.87637878410009695</v>
      </c>
      <c r="AP13">
        <v>0.12362121589990201</v>
      </c>
      <c r="AQ13">
        <v>0</v>
      </c>
      <c r="AR13" s="3">
        <v>6.2549623953267802E-3</v>
      </c>
      <c r="AS13" s="2">
        <v>1.1738452772843101E-3</v>
      </c>
      <c r="AT13" s="2">
        <v>2.7386307487229598E-4</v>
      </c>
      <c r="AU13" s="2">
        <v>2.3963830975523999E-3</v>
      </c>
      <c r="AV13" s="2">
        <v>0</v>
      </c>
      <c r="AW13" s="2">
        <v>7.42880767261109E-3</v>
      </c>
      <c r="AX13" s="3">
        <v>1.1737231720346001E-2</v>
      </c>
      <c r="AY13" s="3">
        <v>-1.1778708105048301E-3</v>
      </c>
      <c r="AZ13" s="3">
        <v>1.54709194576164E-3</v>
      </c>
      <c r="BA13" s="3">
        <v>1.05593609098411E-2</v>
      </c>
      <c r="BB13" s="3">
        <v>1.32843236661076E-2</v>
      </c>
      <c r="BC13" s="3">
        <v>1.18108787698514E-3</v>
      </c>
      <c r="BD13" s="3">
        <v>7.89968214763733E-4</v>
      </c>
      <c r="BE13" s="3">
        <v>2.0844770940482899E-3</v>
      </c>
      <c r="BF13" s="3">
        <v>0</v>
      </c>
      <c r="BG13" s="3">
        <v>3.12733617074974E-3</v>
      </c>
      <c r="BH13" s="3">
        <v>9.4901421148781704E-4</v>
      </c>
      <c r="BI13" s="3">
        <v>7.4590144487413697E-4</v>
      </c>
      <c r="BJ13">
        <v>0.97501224633357397</v>
      </c>
      <c r="BK13" s="8">
        <v>7265</v>
      </c>
      <c r="BL13" s="3">
        <v>4.5423262216104602E-3</v>
      </c>
      <c r="BM13" s="3">
        <v>7.2707049965776895E-4</v>
      </c>
      <c r="BN13" s="3">
        <v>1.16971782518926E-3</v>
      </c>
      <c r="BO13" s="13">
        <v>4.6456373012908196</v>
      </c>
      <c r="BP13" s="13">
        <v>4.6456373012908196</v>
      </c>
      <c r="BQ13" s="13">
        <v>18.508702088375799</v>
      </c>
      <c r="BR13" s="10">
        <v>0.200635917072818</v>
      </c>
      <c r="BS13" s="10">
        <v>0.200635917072818</v>
      </c>
      <c r="BT13" s="10">
        <v>0.79936408292718197</v>
      </c>
      <c r="BU13" s="10">
        <v>0.36707246876524602</v>
      </c>
      <c r="BV13" s="10">
        <v>0.100625856998209</v>
      </c>
      <c r="BW13">
        <v>14.6550002769415</v>
      </c>
      <c r="BX13">
        <v>1.1579919830512999</v>
      </c>
      <c r="BY13">
        <v>0.27153830172499499</v>
      </c>
      <c r="BZ13" s="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11.887088466258</v>
      </c>
      <c r="C14">
        <v>38.618609303526299</v>
      </c>
      <c r="D14">
        <v>0</v>
      </c>
      <c r="E14">
        <v>50.505697769784199</v>
      </c>
      <c r="F14">
        <v>44.324883697245099</v>
      </c>
      <c r="G14">
        <v>56.843125969228701</v>
      </c>
      <c r="H14">
        <v>32.4733221838408</v>
      </c>
      <c r="I14">
        <v>44.953614068873698</v>
      </c>
      <c r="J14">
        <v>7.8387248241880298</v>
      </c>
      <c r="K14">
        <v>5.5018291578815797</v>
      </c>
      <c r="L14">
        <v>10.221656144047</v>
      </c>
      <c r="M14">
        <v>0</v>
      </c>
      <c r="N14">
        <v>18.142915552524599</v>
      </c>
      <c r="O14" s="4">
        <v>76.487338146496796</v>
      </c>
      <c r="P14" s="4">
        <v>66.764863444094999</v>
      </c>
      <c r="Q14" s="4">
        <v>86.609244806140197</v>
      </c>
      <c r="R14">
        <v>1000</v>
      </c>
      <c r="S14" s="10">
        <v>6.0215204204093702E-2</v>
      </c>
      <c r="T14" s="6">
        <v>92.241416200000003</v>
      </c>
      <c r="U14" s="6">
        <v>105.96519307200001</v>
      </c>
      <c r="V14" s="8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61.960999999999999</v>
      </c>
      <c r="AB14" s="8">
        <v>43</v>
      </c>
      <c r="AC14" s="6">
        <v>29.49</v>
      </c>
      <c r="AD14">
        <v>23</v>
      </c>
      <c r="AE14">
        <v>17</v>
      </c>
      <c r="AF14">
        <v>30.030004018782499</v>
      </c>
      <c r="AG14" t="s">
        <v>44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4.5833298072085797E-2</v>
      </c>
      <c r="AN14" s="2">
        <v>1.90417195057082E-3</v>
      </c>
      <c r="AO14">
        <v>7.2735952937726805E-2</v>
      </c>
      <c r="AP14">
        <v>0.92726404706227195</v>
      </c>
      <c r="AQ14">
        <v>0</v>
      </c>
      <c r="AR14" s="3">
        <v>1.1605674036602499E-3</v>
      </c>
      <c r="AS14" s="2">
        <v>3.77043539800224E-3</v>
      </c>
      <c r="AT14" s="2">
        <v>2.9821887970657001E-3</v>
      </c>
      <c r="AU14" s="2">
        <v>4.58301679183262E-3</v>
      </c>
      <c r="AV14" s="2">
        <v>0</v>
      </c>
      <c r="AW14" s="2">
        <v>4.9310028016624997E-3</v>
      </c>
      <c r="AX14" s="3">
        <v>7.4676580137800503E-3</v>
      </c>
      <c r="AY14" s="3">
        <v>-9.4923052474523003E-4</v>
      </c>
      <c r="AZ14" s="3">
        <v>9.8822810694297798E-4</v>
      </c>
      <c r="BA14" s="3">
        <v>6.5184274890348198E-3</v>
      </c>
      <c r="BB14" s="3">
        <v>8.4558861207230298E-3</v>
      </c>
      <c r="BC14" s="3">
        <v>7.6531511841931399E-4</v>
      </c>
      <c r="BD14" s="3">
        <v>5.3715790870655295E-4</v>
      </c>
      <c r="BE14" s="3">
        <v>9.9796690887579394E-4</v>
      </c>
      <c r="BF14" s="3">
        <v>0</v>
      </c>
      <c r="BG14" s="3">
        <v>1.7713400936982401E-3</v>
      </c>
      <c r="BH14" s="3">
        <v>2.89658293731614E-3</v>
      </c>
      <c r="BI14" s="3">
        <v>2.8042996152975799E-3</v>
      </c>
      <c r="BJ14">
        <v>0.99285006697830103</v>
      </c>
      <c r="BK14" s="8">
        <v>12801</v>
      </c>
      <c r="BL14" s="3">
        <v>3.3591125693305198E-3</v>
      </c>
      <c r="BM14" s="3">
        <v>1.8311083514436499E-3</v>
      </c>
      <c r="BN14" s="3">
        <v>2.3037262713850501E-3</v>
      </c>
      <c r="BO14" s="13">
        <v>46.457334127714297</v>
      </c>
      <c r="BP14" s="13">
        <v>46.457334127714297</v>
      </c>
      <c r="BQ14" s="13">
        <v>30.030004018782499</v>
      </c>
      <c r="BR14" s="10">
        <v>0.607383439031843</v>
      </c>
      <c r="BS14" s="10">
        <v>0.607383439031843</v>
      </c>
      <c r="BT14" s="10">
        <v>0.392616560968157</v>
      </c>
      <c r="BU14" s="10">
        <v>0.339687129019764</v>
      </c>
      <c r="BV14" s="10">
        <v>0.10248410447921601</v>
      </c>
      <c r="BW14">
        <v>50.505697769784199</v>
      </c>
      <c r="BX14">
        <v>4.2184118687436296</v>
      </c>
      <c r="BY14">
        <v>0.80013124281734305</v>
      </c>
      <c r="BZ14" s="3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10.541206903265801</v>
      </c>
      <c r="C15">
        <v>5.8717252082301297</v>
      </c>
      <c r="D15">
        <v>0</v>
      </c>
      <c r="E15">
        <v>16.412932111496001</v>
      </c>
      <c r="F15">
        <v>15.3693584938896</v>
      </c>
      <c r="G15">
        <v>17.5103295895162</v>
      </c>
      <c r="H15">
        <v>4.8616460039293399</v>
      </c>
      <c r="I15">
        <v>6.9468620891563999</v>
      </c>
      <c r="J15">
        <v>2.3703094478113802</v>
      </c>
      <c r="K15">
        <v>1.7549972937801901</v>
      </c>
      <c r="L15">
        <v>3.2880275043313199</v>
      </c>
      <c r="M15">
        <v>0</v>
      </c>
      <c r="N15">
        <v>1.3191311322984201</v>
      </c>
      <c r="O15" s="4">
        <v>20.102372691605801</v>
      </c>
      <c r="P15" s="4">
        <v>18.600994460181202</v>
      </c>
      <c r="Q15" s="4">
        <v>21.743760910107</v>
      </c>
      <c r="R15">
        <v>1000</v>
      </c>
      <c r="S15" s="10">
        <v>6.5821515386079998E-2</v>
      </c>
      <c r="T15" s="6">
        <v>8.3545392399999994</v>
      </c>
      <c r="U15" s="6">
        <v>52.655999999999999</v>
      </c>
      <c r="V15" s="8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41.223999999999997</v>
      </c>
      <c r="AB15" s="8">
        <v>42</v>
      </c>
      <c r="AC15" s="6">
        <v>24.934999999999999</v>
      </c>
      <c r="AD15">
        <v>52</v>
      </c>
      <c r="AE15">
        <v>25</v>
      </c>
      <c r="AF15">
        <v>11.8603380355643</v>
      </c>
      <c r="AG15" t="s">
        <v>44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3.5077345729481103E-2</v>
      </c>
      <c r="AN15" s="2">
        <v>2.0814590766382998E-3</v>
      </c>
      <c r="AO15">
        <v>0.70688269880103904</v>
      </c>
      <c r="AP15">
        <v>0.29311730119896201</v>
      </c>
      <c r="AQ15">
        <v>0</v>
      </c>
      <c r="AR15" s="3">
        <v>3.0054253617345001E-2</v>
      </c>
      <c r="AS15" s="2">
        <v>1.6740997515648101E-2</v>
      </c>
      <c r="AT15" s="2">
        <v>1.1337036685258799E-2</v>
      </c>
      <c r="AU15" s="2">
        <v>2.24930193047259E-2</v>
      </c>
      <c r="AV15" s="2">
        <v>0</v>
      </c>
      <c r="AW15" s="2">
        <v>4.6795251132993099E-2</v>
      </c>
      <c r="AX15" s="3">
        <v>5.73142916867262E-2</v>
      </c>
      <c r="AY15" s="3">
        <v>-4.2806106128905801E-3</v>
      </c>
      <c r="AZ15" s="3">
        <v>4.6797959907299699E-3</v>
      </c>
      <c r="BA15" s="3">
        <v>5.3033681073835597E-2</v>
      </c>
      <c r="BB15" s="3">
        <v>6.1994087677456199E-2</v>
      </c>
      <c r="BC15" s="3">
        <v>6.7580384248070897E-3</v>
      </c>
      <c r="BD15" s="3">
        <v>5.0037091814109699E-3</v>
      </c>
      <c r="BE15" s="3">
        <v>9.3745634084237191E-3</v>
      </c>
      <c r="BF15" s="3">
        <v>0</v>
      </c>
      <c r="BG15" s="3">
        <v>3.7610021289259899E-3</v>
      </c>
      <c r="BH15" s="3">
        <v>2.9610829103214899E-3</v>
      </c>
      <c r="BI15" s="3">
        <v>2.1797800338409501E-3</v>
      </c>
      <c r="BJ15">
        <v>0.94768341947272505</v>
      </c>
      <c r="BK15" s="8">
        <v>5371</v>
      </c>
      <c r="BL15" s="3">
        <v>7.8197728542170903E-3</v>
      </c>
      <c r="BM15" s="3">
        <v>2.7147523135547099E-3</v>
      </c>
      <c r="BN15" s="3">
        <v>4.6425246695215002E-3</v>
      </c>
      <c r="BO15" s="13">
        <v>8.2420346560415094</v>
      </c>
      <c r="BP15" s="13">
        <v>8.2420346560415094</v>
      </c>
      <c r="BQ15" s="13">
        <v>11.8603380355643</v>
      </c>
      <c r="BR15" s="10">
        <v>0.40999772369019</v>
      </c>
      <c r="BS15" s="10">
        <v>0.40999772369019</v>
      </c>
      <c r="BT15" s="10">
        <v>0.59000227630980995</v>
      </c>
      <c r="BU15" s="10">
        <v>0.183527127368103</v>
      </c>
      <c r="BV15" s="10">
        <v>0.117905585244463</v>
      </c>
      <c r="BW15">
        <v>16.412932111496001</v>
      </c>
      <c r="BX15">
        <v>1.4755691677265399</v>
      </c>
      <c r="BY15">
        <v>6.5302414381253296E-2</v>
      </c>
      <c r="BZ15" s="3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3.5051449736184201</v>
      </c>
      <c r="C16">
        <v>15.073069079356101</v>
      </c>
      <c r="D16">
        <v>0.76349569852481303</v>
      </c>
      <c r="E16">
        <v>19.341709751499302</v>
      </c>
      <c r="F16">
        <v>17.1498308705455</v>
      </c>
      <c r="G16">
        <v>21.6173912429655</v>
      </c>
      <c r="H16">
        <v>12.9490456149602</v>
      </c>
      <c r="I16">
        <v>17.266475596585401</v>
      </c>
      <c r="J16">
        <v>2.5519995608511099</v>
      </c>
      <c r="K16">
        <v>2.1075120450732898</v>
      </c>
      <c r="L16">
        <v>3.0472551278384601</v>
      </c>
      <c r="M16">
        <v>5.4798522351368701</v>
      </c>
      <c r="N16">
        <v>2.18648804612952</v>
      </c>
      <c r="O16" s="4">
        <v>29.5600495936168</v>
      </c>
      <c r="P16" s="4">
        <v>26.412322318400101</v>
      </c>
      <c r="Q16" s="4">
        <v>32.632310428965901</v>
      </c>
      <c r="R16">
        <v>1000</v>
      </c>
      <c r="S16" s="10">
        <v>6.5769172958965394E-2</v>
      </c>
      <c r="T16" s="6">
        <v>10.8892576122736</v>
      </c>
      <c r="U16" s="6">
        <v>54.517000000000003</v>
      </c>
      <c r="V16" s="8">
        <v>636.66734652673802</v>
      </c>
      <c r="W16" s="8">
        <v>7474</v>
      </c>
      <c r="X16" s="8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40.020000000000003</v>
      </c>
      <c r="AD16">
        <v>49</v>
      </c>
      <c r="AE16">
        <v>23</v>
      </c>
      <c r="AF16">
        <v>5.6916330197479397</v>
      </c>
      <c r="AG16" t="s">
        <v>44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4.9901340506462E-2</v>
      </c>
      <c r="AN16" s="2">
        <v>2.0798038637588698E-3</v>
      </c>
      <c r="AO16">
        <v>0.153452272094416</v>
      </c>
      <c r="AP16">
        <v>0.83081881891938003</v>
      </c>
      <c r="AQ16">
        <v>1.5728908986203501E-2</v>
      </c>
      <c r="AR16" s="3">
        <v>5.5054574303838796E-3</v>
      </c>
      <c r="AS16" s="2">
        <v>2.3674952330420902E-2</v>
      </c>
      <c r="AT16" s="2">
        <v>1.92779479097222E-2</v>
      </c>
      <c r="AU16" s="2">
        <v>2.82155886813426E-2</v>
      </c>
      <c r="AV16" s="2">
        <v>1.19920662287766E-3</v>
      </c>
      <c r="AW16" s="2">
        <v>3.0379616383682501E-2</v>
      </c>
      <c r="AX16" s="3">
        <v>4.6429347688205003E-2</v>
      </c>
      <c r="AY16" s="3">
        <v>-4.9440689747775402E-3</v>
      </c>
      <c r="AZ16" s="3">
        <v>4.8255354261678898E-3</v>
      </c>
      <c r="BA16" s="3">
        <v>4.1485278713427498E-2</v>
      </c>
      <c r="BB16" s="3">
        <v>5.1254883114372901E-2</v>
      </c>
      <c r="BC16" s="3">
        <v>4.0083719932759799E-3</v>
      </c>
      <c r="BD16" s="3">
        <v>3.3102248082465201E-3</v>
      </c>
      <c r="BE16" s="3">
        <v>4.7862594877252501E-3</v>
      </c>
      <c r="BF16" s="3">
        <v>8.6763564237199008E-3</v>
      </c>
      <c r="BG16" s="3">
        <v>3.4342707507423499E-3</v>
      </c>
      <c r="BH16" s="3">
        <v>9.9987501562304702E-3</v>
      </c>
      <c r="BI16" s="3">
        <v>9.9987501562304702E-3</v>
      </c>
      <c r="BJ16">
        <v>0.99009583756708797</v>
      </c>
      <c r="BK16" s="8">
        <v>4606</v>
      </c>
      <c r="BL16" s="3">
        <v>1.0638297872340399E-2</v>
      </c>
      <c r="BM16" s="3">
        <v>5.35456248327536E-3</v>
      </c>
      <c r="BN16" s="3">
        <v>8.6886669561441598E-3</v>
      </c>
      <c r="BO16" s="13">
        <v>17.6250686402072</v>
      </c>
      <c r="BP16" s="13">
        <v>23.104920875344099</v>
      </c>
      <c r="BQ16" s="13">
        <v>5.6916330197479397</v>
      </c>
      <c r="BR16" s="10">
        <v>0.59624750088576495</v>
      </c>
      <c r="BS16" s="10">
        <v>0.78162622999405096</v>
      </c>
      <c r="BT16" s="10">
        <v>0.192545198374242</v>
      </c>
      <c r="BU16" s="10">
        <v>0.34567974154339498</v>
      </c>
      <c r="BV16" s="10">
        <v>8.6332972996221405E-2</v>
      </c>
      <c r="BW16">
        <v>19.341709751499302</v>
      </c>
      <c r="BX16">
        <v>5.4635234312660304</v>
      </c>
      <c r="BY16">
        <v>0.13822565057028599</v>
      </c>
      <c r="BZ16" s="3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22.126171596282099</v>
      </c>
      <c r="C17">
        <v>104.519447282797</v>
      </c>
      <c r="D17">
        <v>0</v>
      </c>
      <c r="E17">
        <v>126.645618879079</v>
      </c>
      <c r="F17">
        <v>121.557963543369</v>
      </c>
      <c r="G17">
        <v>132.085338936125</v>
      </c>
      <c r="H17">
        <v>99.457131902816201</v>
      </c>
      <c r="I17">
        <v>109.935044590806</v>
      </c>
      <c r="J17">
        <v>75.431637309508204</v>
      </c>
      <c r="K17">
        <v>68.874871549386498</v>
      </c>
      <c r="L17">
        <v>83.280135776601696</v>
      </c>
      <c r="M17">
        <v>0</v>
      </c>
      <c r="N17">
        <v>17.294910308613101</v>
      </c>
      <c r="O17" s="4">
        <v>219.3721664972</v>
      </c>
      <c r="P17" s="4">
        <v>207.838175013804</v>
      </c>
      <c r="Q17" s="4">
        <v>232.26074463592599</v>
      </c>
      <c r="R17">
        <v>1000</v>
      </c>
      <c r="S17" s="10">
        <v>6.5314142860367297E-2</v>
      </c>
      <c r="T17" s="6">
        <v>16.353133799999998</v>
      </c>
      <c r="U17" s="6">
        <v>58.567</v>
      </c>
      <c r="V17" s="8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997.76099999999997</v>
      </c>
      <c r="AB17" s="8">
        <v>540</v>
      </c>
      <c r="AC17" s="6">
        <v>166.899</v>
      </c>
      <c r="AD17">
        <v>681</v>
      </c>
      <c r="AE17">
        <v>278</v>
      </c>
      <c r="AF17">
        <v>39.421081904895203</v>
      </c>
      <c r="AG17" t="s">
        <v>44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2.1900495141749899E-2</v>
      </c>
      <c r="AN17" s="2">
        <v>2.06541454860386E-3</v>
      </c>
      <c r="AO17">
        <v>0.347901712499392</v>
      </c>
      <c r="AP17">
        <v>0.65209828750060805</v>
      </c>
      <c r="AQ17">
        <v>0</v>
      </c>
      <c r="AR17" s="3">
        <v>4.6524584031305697E-3</v>
      </c>
      <c r="AS17" s="2">
        <v>2.1977248919244598E-2</v>
      </c>
      <c r="AT17" s="2">
        <v>1.8802724159205399E-2</v>
      </c>
      <c r="AU17" s="2">
        <v>2.5373313062672501E-2</v>
      </c>
      <c r="AV17" s="2">
        <v>0</v>
      </c>
      <c r="AW17" s="2">
        <v>2.6629707322375198E-2</v>
      </c>
      <c r="AX17" s="3">
        <v>4.6127269464201197E-2</v>
      </c>
      <c r="AY17" s="3">
        <v>-2.4252462910293099E-3</v>
      </c>
      <c r="AZ17" s="3">
        <v>2.7100745108564E-3</v>
      </c>
      <c r="BA17" s="3">
        <v>4.3702023173171803E-2</v>
      </c>
      <c r="BB17" s="3">
        <v>4.8837343975057602E-2</v>
      </c>
      <c r="BC17" s="3">
        <v>1.5860970495297499E-2</v>
      </c>
      <c r="BD17" s="3">
        <v>1.44822828255714E-2</v>
      </c>
      <c r="BE17" s="3">
        <v>1.7511270118361101E-2</v>
      </c>
      <c r="BF17" s="3">
        <v>0</v>
      </c>
      <c r="BG17" s="3">
        <v>3.6365916465285501E-3</v>
      </c>
      <c r="BH17" s="3">
        <v>1.2577563635059401E-2</v>
      </c>
      <c r="BI17" s="3">
        <v>1.19290898004567E-2</v>
      </c>
      <c r="BJ17">
        <v>0.77863605537566505</v>
      </c>
      <c r="BK17" s="8">
        <v>9404</v>
      </c>
      <c r="BL17" s="3">
        <v>5.7422373458102902E-2</v>
      </c>
      <c r="BM17" s="3">
        <v>9.7237823351200205E-3</v>
      </c>
      <c r="BN17" s="3">
        <v>1.7747660569970201E-2</v>
      </c>
      <c r="BO17" s="13">
        <v>179.95108459230499</v>
      </c>
      <c r="BP17" s="13">
        <v>179.95108459230499</v>
      </c>
      <c r="BQ17" s="13">
        <v>39.421081904895203</v>
      </c>
      <c r="BR17" s="10">
        <v>0.820300054578606</v>
      </c>
      <c r="BS17" s="10">
        <v>0.820300054578606</v>
      </c>
      <c r="BT17" s="10">
        <v>0.179699945421394</v>
      </c>
      <c r="BU17" s="10">
        <v>0.42268996997556102</v>
      </c>
      <c r="BV17" s="10">
        <v>0.34385164312566302</v>
      </c>
      <c r="BW17">
        <v>126.645618879079</v>
      </c>
      <c r="BX17">
        <v>4.4567892697313098</v>
      </c>
      <c r="BY17">
        <v>0.50572119659514603</v>
      </c>
      <c r="BZ17" s="3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13.5777361202375</v>
      </c>
      <c r="C18">
        <v>57.820811055722899</v>
      </c>
      <c r="D18">
        <v>0</v>
      </c>
      <c r="E18">
        <v>71.398547175960402</v>
      </c>
      <c r="F18">
        <v>67.807975875198395</v>
      </c>
      <c r="G18">
        <v>75.377981404446302</v>
      </c>
      <c r="H18">
        <v>54.239061807992201</v>
      </c>
      <c r="I18">
        <v>61.814354893897999</v>
      </c>
      <c r="J18">
        <v>37.223173072428203</v>
      </c>
      <c r="K18">
        <v>34.119269110536401</v>
      </c>
      <c r="L18">
        <v>41.419536377102901</v>
      </c>
      <c r="M18">
        <v>0</v>
      </c>
      <c r="N18">
        <v>13.139792955001001</v>
      </c>
      <c r="O18" s="4">
        <v>121.76151320339</v>
      </c>
      <c r="P18" s="4">
        <v>114.28510590542101</v>
      </c>
      <c r="Q18" s="4">
        <v>129.554459758577</v>
      </c>
      <c r="R18">
        <v>1000</v>
      </c>
      <c r="S18" s="10">
        <v>8.2256238418095401E-2</v>
      </c>
      <c r="T18">
        <v>16.353133799999998</v>
      </c>
      <c r="U18" s="6">
        <v>53.076999999999998</v>
      </c>
      <c r="V18" s="8">
        <v>3613.2165038502699</v>
      </c>
      <c r="W18" s="8">
        <v>7955</v>
      </c>
      <c r="X18" s="8">
        <v>100870</v>
      </c>
      <c r="Y18">
        <v>1.82507693639206</v>
      </c>
      <c r="Z18">
        <v>922</v>
      </c>
      <c r="AA18">
        <v>875.90300000000002</v>
      </c>
      <c r="AB18">
        <v>447</v>
      </c>
      <c r="AC18" s="6">
        <v>117.804</v>
      </c>
      <c r="AD18">
        <v>558</v>
      </c>
      <c r="AE18">
        <v>202</v>
      </c>
      <c r="AF18">
        <v>26.717529075238499</v>
      </c>
      <c r="AG18" t="s">
        <v>44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2.3098064184092399E-2</v>
      </c>
      <c r="AN18" s="2">
        <v>2.6011706515902699E-3</v>
      </c>
      <c r="AO18">
        <v>0.38296397985497699</v>
      </c>
      <c r="AP18">
        <v>0.61703602014502301</v>
      </c>
      <c r="AQ18">
        <v>0</v>
      </c>
      <c r="AR18" s="3">
        <v>3.7577975484638102E-3</v>
      </c>
      <c r="AS18" s="2">
        <v>1.6002586890131999E-2</v>
      </c>
      <c r="AT18" s="2">
        <v>1.2472426362500399E-2</v>
      </c>
      <c r="AU18" s="2">
        <v>1.9938610840391498E-2</v>
      </c>
      <c r="AV18" s="2">
        <v>0</v>
      </c>
      <c r="AW18" s="2">
        <v>1.9760384438595801E-2</v>
      </c>
      <c r="AX18" s="3">
        <v>3.3698925340798103E-2</v>
      </c>
      <c r="AY18" s="3">
        <v>-2.0691833135383598E-3</v>
      </c>
      <c r="AZ18" s="3">
        <v>2.1567892615578098E-3</v>
      </c>
      <c r="BA18" s="3">
        <v>3.1629742027259697E-2</v>
      </c>
      <c r="BB18" s="3">
        <v>3.5855714602355898E-2</v>
      </c>
      <c r="BC18" s="3">
        <v>1.03019492556737E-2</v>
      </c>
      <c r="BD18" s="3">
        <v>9.4429074687826502E-3</v>
      </c>
      <c r="BE18" s="3">
        <v>1.14633419649683E-2</v>
      </c>
      <c r="BF18" s="3">
        <v>0</v>
      </c>
      <c r="BG18" s="3">
        <v>3.6365916465285501E-3</v>
      </c>
      <c r="BH18" s="3">
        <v>1.6682347832380401E-2</v>
      </c>
      <c r="BI18" s="3">
        <v>1.5848284721719601E-2</v>
      </c>
      <c r="BJ18">
        <v>0.72444510259960704</v>
      </c>
      <c r="BK18" s="8">
        <v>4358</v>
      </c>
      <c r="BL18" s="3">
        <v>0.102569986232217</v>
      </c>
      <c r="BM18" s="3">
        <v>1.48087994971716E-2</v>
      </c>
      <c r="BN18" s="3">
        <v>2.7031665901789799E-2</v>
      </c>
      <c r="BO18" s="13">
        <v>95.043984128151095</v>
      </c>
      <c r="BP18" s="13">
        <v>95.043984128151095</v>
      </c>
      <c r="BQ18" s="13">
        <v>26.717529075238499</v>
      </c>
      <c r="BR18" s="10">
        <v>0.78057386229088899</v>
      </c>
      <c r="BS18" s="10">
        <v>0.78057386229088899</v>
      </c>
      <c r="BT18" s="10">
        <v>0.21942613770911101</v>
      </c>
      <c r="BU18" s="10">
        <v>0.41361799402982002</v>
      </c>
      <c r="BV18" s="10">
        <v>0.30570322354901103</v>
      </c>
      <c r="BW18">
        <v>71.398547175960402</v>
      </c>
      <c r="BX18">
        <v>3.8094851057830401</v>
      </c>
      <c r="BY18">
        <v>0.82909970258152099</v>
      </c>
      <c r="BZ18" s="3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8.9700353539071696</v>
      </c>
      <c r="C19">
        <v>46.360864027091203</v>
      </c>
      <c r="D19">
        <v>0</v>
      </c>
      <c r="E19">
        <v>55.330899380998297</v>
      </c>
      <c r="F19">
        <v>51.877515410982298</v>
      </c>
      <c r="G19">
        <v>59.2038497310457</v>
      </c>
      <c r="H19">
        <v>42.897832694524602</v>
      </c>
      <c r="I19">
        <v>50.170991968884898</v>
      </c>
      <c r="J19">
        <v>38.241964115044297</v>
      </c>
      <c r="K19">
        <v>31.850661505601099</v>
      </c>
      <c r="L19">
        <v>45.919263598333401</v>
      </c>
      <c r="M19">
        <v>0</v>
      </c>
      <c r="N19">
        <v>4.1551173562375103</v>
      </c>
      <c r="O19" s="4">
        <v>97.727980852280098</v>
      </c>
      <c r="P19" s="4">
        <v>89.894652964929094</v>
      </c>
      <c r="Q19" s="4">
        <v>107.149306132768</v>
      </c>
      <c r="R19">
        <v>1000</v>
      </c>
      <c r="S19" s="10">
        <v>0.10456281424691501</v>
      </c>
      <c r="T19">
        <v>16.353133799999998</v>
      </c>
      <c r="U19" s="6">
        <v>113.01</v>
      </c>
      <c r="V19" s="8">
        <v>1142.58562965241</v>
      </c>
      <c r="W19" s="8">
        <v>9209</v>
      </c>
      <c r="X19" s="8">
        <v>51783</v>
      </c>
      <c r="Y19">
        <v>1.82507693639206</v>
      </c>
      <c r="Z19">
        <v>130</v>
      </c>
      <c r="AA19">
        <v>124.181</v>
      </c>
      <c r="AB19">
        <v>93</v>
      </c>
      <c r="AC19" s="6">
        <v>49.045000000000002</v>
      </c>
      <c r="AD19">
        <v>123</v>
      </c>
      <c r="AE19">
        <v>76</v>
      </c>
      <c r="AF19">
        <v>13.1251527101447</v>
      </c>
      <c r="AG19" t="s">
        <v>44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4.4091535119610302E-2</v>
      </c>
      <c r="AN19" s="2">
        <v>3.3065665157735701E-3</v>
      </c>
      <c r="AO19">
        <v>0.24043398199326099</v>
      </c>
      <c r="AP19">
        <v>0.75956601800673795</v>
      </c>
      <c r="AQ19">
        <v>0</v>
      </c>
      <c r="AR19" s="3">
        <v>7.8506460444772198E-3</v>
      </c>
      <c r="AS19" s="2">
        <v>4.0575395684956203E-2</v>
      </c>
      <c r="AT19" s="2">
        <v>3.3387699577193897E-2</v>
      </c>
      <c r="AU19" s="2">
        <v>4.8483508302872E-2</v>
      </c>
      <c r="AV19" s="2">
        <v>0</v>
      </c>
      <c r="AW19" s="2">
        <v>4.8426041729433399E-2</v>
      </c>
      <c r="AX19" s="3">
        <v>8.5532303501848303E-2</v>
      </c>
      <c r="AY19" s="3">
        <v>-6.8557906594134601E-3</v>
      </c>
      <c r="AZ19" s="3">
        <v>8.2456185654586605E-3</v>
      </c>
      <c r="BA19" s="3">
        <v>7.8676512842434904E-2</v>
      </c>
      <c r="BB19" s="3">
        <v>9.3777922067307007E-2</v>
      </c>
      <c r="BC19" s="3">
        <v>3.3469670125886399E-2</v>
      </c>
      <c r="BD19" s="3">
        <v>2.7875951420192901E-2</v>
      </c>
      <c r="BE19" s="3">
        <v>4.0188903489275299E-2</v>
      </c>
      <c r="BF19" s="3">
        <v>0</v>
      </c>
      <c r="BG19" s="3">
        <v>3.6365916465285501E-3</v>
      </c>
      <c r="BH19" s="3">
        <v>4.5818207450745397E-3</v>
      </c>
      <c r="BI19" s="3">
        <v>4.3767313995700099E-3</v>
      </c>
      <c r="BJ19">
        <v>0.92630546584059203</v>
      </c>
      <c r="BK19" s="8">
        <v>5045</v>
      </c>
      <c r="BL19" s="3">
        <v>1.8434093161546102E-2</v>
      </c>
      <c r="BM19" s="3">
        <v>5.32576827017049E-3</v>
      </c>
      <c r="BN19" s="3">
        <v>9.7215064420218007E-3</v>
      </c>
      <c r="BO19" s="13">
        <v>84.602828142135394</v>
      </c>
      <c r="BP19" s="13">
        <v>84.602828142135394</v>
      </c>
      <c r="BQ19" s="13">
        <v>13.1251527101447</v>
      </c>
      <c r="BR19" s="10">
        <v>0.86569582812436796</v>
      </c>
      <c r="BS19" s="10">
        <v>0.86569582812436796</v>
      </c>
      <c r="BT19" s="10">
        <v>0.13430417187563201</v>
      </c>
      <c r="BU19" s="10">
        <v>0.43382427723591799</v>
      </c>
      <c r="BV19" s="10">
        <v>0.39130676064063202</v>
      </c>
      <c r="BW19">
        <v>55.330899380998297</v>
      </c>
      <c r="BX19">
        <v>5.7138057752249098</v>
      </c>
      <c r="BY19">
        <v>0.22647881658124999</v>
      </c>
      <c r="BZ19" s="3">
        <v>1.14918517480515E-2</v>
      </c>
      <c r="CA19">
        <v>0.9</v>
      </c>
      <c r="CB19">
        <v>17.326203208556102</v>
      </c>
    </row>
    <row r="20" spans="1:80" x14ac:dyDescent="0.2">
      <c r="A20" t="s">
        <v>177</v>
      </c>
      <c r="B20">
        <v>1.1080758347475701</v>
      </c>
      <c r="C20">
        <v>19.420285058627599</v>
      </c>
      <c r="D20">
        <v>0</v>
      </c>
      <c r="E20">
        <v>20.528360893375201</v>
      </c>
      <c r="F20">
        <v>17.0558629022518</v>
      </c>
      <c r="G20">
        <v>23.905476544710101</v>
      </c>
      <c r="H20">
        <v>15.947921772196199</v>
      </c>
      <c r="I20">
        <v>22.784745593084502</v>
      </c>
      <c r="J20">
        <v>8.3596462924964499</v>
      </c>
      <c r="K20">
        <v>5.71820209251739</v>
      </c>
      <c r="L20">
        <v>10.9716391932678</v>
      </c>
      <c r="M20">
        <v>0</v>
      </c>
      <c r="N20">
        <v>9.0260915871393905</v>
      </c>
      <c r="O20" s="4">
        <v>37.914098773010998</v>
      </c>
      <c r="P20" s="4">
        <v>32.204060753773597</v>
      </c>
      <c r="Q20" s="4">
        <v>43.913326269776803</v>
      </c>
      <c r="R20">
        <v>1000</v>
      </c>
      <c r="S20" s="10">
        <v>6.9921148569734207E-2</v>
      </c>
      <c r="T20">
        <v>495.44525599999997</v>
      </c>
      <c r="U20" s="6">
        <v>495.44525599999997</v>
      </c>
      <c r="V20" s="8">
        <v>5095.6287949732596</v>
      </c>
      <c r="W20" s="8">
        <v>2996</v>
      </c>
      <c r="X20" s="8">
        <v>4039</v>
      </c>
      <c r="Y20">
        <v>1.2580446390776701</v>
      </c>
      <c r="Z20">
        <v>12</v>
      </c>
      <c r="AA20">
        <v>11</v>
      </c>
      <c r="AB20">
        <v>12</v>
      </c>
      <c r="AC20" s="6">
        <v>11.48</v>
      </c>
      <c r="AD20">
        <v>4</v>
      </c>
      <c r="AE20">
        <v>4</v>
      </c>
      <c r="AF20">
        <v>10.134167421887</v>
      </c>
      <c r="AG20" t="s">
        <v>44</v>
      </c>
      <c r="AH20" t="s">
        <v>43</v>
      </c>
      <c r="AI20" s="12">
        <v>20230308</v>
      </c>
      <c r="AJ20" s="4">
        <v>3210</v>
      </c>
      <c r="AK20" s="6">
        <v>1.3481730365392699</v>
      </c>
      <c r="AL20" s="12">
        <v>0.86124592787809695</v>
      </c>
      <c r="AM20" s="2">
        <v>6.0219304478243002E-2</v>
      </c>
      <c r="AN20" s="2">
        <v>2.21110086095385E-3</v>
      </c>
      <c r="AO20">
        <v>2.01420894653687E-2</v>
      </c>
      <c r="AP20">
        <v>0.979857910534632</v>
      </c>
      <c r="AQ20">
        <v>0</v>
      </c>
      <c r="AR20" s="3">
        <v>2.1745615297579399E-4</v>
      </c>
      <c r="AS20" s="2">
        <v>3.8111655774033899E-3</v>
      </c>
      <c r="AT20" s="2">
        <v>3.0199402310482999E-3</v>
      </c>
      <c r="AU20" s="2">
        <v>4.5778038096632098E-3</v>
      </c>
      <c r="AV20" s="2">
        <v>0</v>
      </c>
      <c r="AW20" s="2">
        <v>4.0286217303791899E-3</v>
      </c>
      <c r="AX20" s="3">
        <v>7.4405142718426704E-3</v>
      </c>
      <c r="AY20" s="3">
        <v>-1.1205757422656599E-3</v>
      </c>
      <c r="AZ20" s="3">
        <v>1.1773282038683699E-3</v>
      </c>
      <c r="BA20" s="3">
        <v>6.3199385295770096E-3</v>
      </c>
      <c r="BB20" s="3">
        <v>8.6178424757110406E-3</v>
      </c>
      <c r="BC20" s="3">
        <v>1.64055244776524E-3</v>
      </c>
      <c r="BD20" s="3">
        <v>1.1221779141679801E-3</v>
      </c>
      <c r="BE20" s="3">
        <v>2.1531472630210201E-3</v>
      </c>
      <c r="BF20" s="3">
        <v>0</v>
      </c>
      <c r="BG20" s="3">
        <v>1.7713400936982401E-3</v>
      </c>
      <c r="BH20" s="3">
        <v>3.7383177570093499E-3</v>
      </c>
      <c r="BI20" s="3">
        <v>3.42679127725857E-3</v>
      </c>
      <c r="BJ20">
        <v>1</v>
      </c>
      <c r="BK20" s="8">
        <v>2381</v>
      </c>
      <c r="BL20" s="3">
        <v>5.03989920201596E-3</v>
      </c>
      <c r="BM20" s="3">
        <v>3.8317757009345798E-3</v>
      </c>
      <c r="BN20" s="3">
        <v>4.8215035699286004E-3</v>
      </c>
      <c r="BO20" s="13">
        <v>27.779931351124102</v>
      </c>
      <c r="BP20" s="13">
        <v>27.779931351124102</v>
      </c>
      <c r="BQ20" s="13">
        <v>10.134167421887</v>
      </c>
      <c r="BR20" s="10">
        <v>0.73270660286741796</v>
      </c>
      <c r="BS20" s="10">
        <v>0.73270660286741796</v>
      </c>
      <c r="BT20" s="10">
        <v>0.26729339713258199</v>
      </c>
      <c r="BU20" s="10">
        <v>0.458555077933049</v>
      </c>
      <c r="BV20" s="10">
        <v>0.220487492582359</v>
      </c>
      <c r="BW20">
        <v>20.528360893375201</v>
      </c>
      <c r="BX20">
        <v>18.527447880478601</v>
      </c>
      <c r="BY20">
        <v>2.1401212914629402</v>
      </c>
      <c r="BZ20" s="3">
        <v>5.4988291489690196E-3</v>
      </c>
      <c r="CA20">
        <v>0.9</v>
      </c>
      <c r="CB20">
        <v>17.326203208556102</v>
      </c>
    </row>
    <row r="21" spans="1:80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N21" s="6"/>
      <c r="AR21" s="3">
        <v>4.7999999999999996E-3</v>
      </c>
      <c r="AS21" s="2"/>
      <c r="AT21" s="2"/>
      <c r="AU21" s="2"/>
      <c r="AV21" s="2"/>
      <c r="AW21" s="3">
        <v>4.9420000000000002E-3</v>
      </c>
      <c r="AX21" s="3">
        <f>AW21+BG21</f>
        <v>1.0092E-2</v>
      </c>
      <c r="AY21" s="3">
        <v>-2.0400000000000001E-3</v>
      </c>
      <c r="AZ21" s="3">
        <v>2.1299999999999999E-3</v>
      </c>
      <c r="BA21" s="3">
        <f>AX21+AY21</f>
        <v>8.0520000000000001E-3</v>
      </c>
      <c r="BB21" s="3">
        <f>AX21+AZ21</f>
        <v>1.2222E-2</v>
      </c>
      <c r="BC21" s="3"/>
      <c r="BD21" s="3"/>
      <c r="BE21" s="3"/>
      <c r="BF21" s="3"/>
      <c r="BG21" s="3">
        <v>5.1500000000000001E-3</v>
      </c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150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151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152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154</v>
      </c>
      <c r="U25" s="4"/>
      <c r="V25" s="8"/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153</v>
      </c>
      <c r="U26" t="s">
        <v>121</v>
      </c>
      <c r="V26" s="15">
        <f>V27/V30</f>
        <v>0.28137144015196247</v>
      </c>
      <c r="AI26" s="12"/>
      <c r="AJ26" s="4"/>
      <c r="AK26" s="6"/>
      <c r="AL26" s="6"/>
      <c r="AM26" s="6"/>
      <c r="AN26" s="6"/>
      <c r="AR26" s="3"/>
      <c r="AS26" s="2"/>
      <c r="AT26" s="2"/>
      <c r="AU26" s="2"/>
      <c r="AV26" s="2"/>
      <c r="AW26" s="2"/>
      <c r="AX26" s="2"/>
      <c r="AY26" s="3"/>
      <c r="AZ26" s="3"/>
      <c r="BA26" s="2"/>
      <c r="BB26" s="2"/>
      <c r="BC26" s="3"/>
      <c r="BD26" s="3"/>
      <c r="BE26" s="3"/>
      <c r="BF26" s="3"/>
      <c r="BG26" s="3"/>
      <c r="BH26" s="3"/>
      <c r="BI26" s="3"/>
      <c r="BK26" s="8"/>
      <c r="BL26" s="3"/>
      <c r="BM26" s="3"/>
      <c r="BN26" s="3"/>
      <c r="BP26"/>
      <c r="BQ26"/>
      <c r="BR26"/>
      <c r="BS26"/>
      <c r="BT26"/>
      <c r="BU26"/>
      <c r="BV26"/>
    </row>
    <row r="27" spans="1:80" x14ac:dyDescent="0.2">
      <c r="A27" t="s">
        <v>65</v>
      </c>
      <c r="O27" s="11">
        <f>O3+O7+O13+O14+O15+O16</f>
        <v>716.7720429584873</v>
      </c>
      <c r="P27" s="11">
        <f t="shared" ref="P27:Q27" si="0">P3+P7+P13+P14+P15+P16</f>
        <v>675.76458181250666</v>
      </c>
      <c r="Q27" s="11">
        <f t="shared" si="0"/>
        <v>760.29192940461678</v>
      </c>
      <c r="V27" s="11">
        <f>V3+V7+V13+V14+V15+V16</f>
        <v>23994.401100569525</v>
      </c>
      <c r="W27" s="11">
        <f>W3+W7+W13+W14+W15+W16</f>
        <v>170569</v>
      </c>
      <c r="X27" s="11">
        <f>X3+X7+X13+X14+X15+X16</f>
        <v>549072</v>
      </c>
      <c r="AC27" s="11">
        <f>AC3+AC7+AC13+AC14+AC15+AC16</f>
        <v>601.39499999999987</v>
      </c>
      <c r="AD27" s="11"/>
      <c r="AE27" s="11"/>
      <c r="AI27" s="12">
        <v>1</v>
      </c>
      <c r="AJ27" s="11">
        <f>AJ3+AJ7+AJ13+AJ14+AJ15+AJ16</f>
        <v>316771</v>
      </c>
      <c r="AK27">
        <f>X27/W27</f>
        <v>3.219060907902374</v>
      </c>
      <c r="AX27" s="3">
        <f>O27/$V27</f>
        <v>2.987247066322794E-2</v>
      </c>
      <c r="AY27" s="3">
        <f t="shared" ref="AY27" si="1">P27/$V27</f>
        <v>2.8163427750504132E-2</v>
      </c>
      <c r="AZ27" s="3">
        <f t="shared" ref="AZ27" si="2">Q27/$V27</f>
        <v>3.1686222390713087E-2</v>
      </c>
      <c r="BK27" s="11">
        <f>BK3+BK7+BK13+BK14+BK15+BK16</f>
        <v>100159</v>
      </c>
      <c r="BN27" s="3">
        <f>AC27/BK27</f>
        <v>6.004402999231221E-3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66</v>
      </c>
      <c r="O28">
        <f>SUM(O2:O16)</f>
        <v>1362.4199586124653</v>
      </c>
      <c r="P28">
        <f t="shared" ref="P28:Q28" si="3">SUM(P2:P16)</f>
        <v>1273.3114773664097</v>
      </c>
      <c r="Q28">
        <f t="shared" si="3"/>
        <v>1458.9406754802299</v>
      </c>
      <c r="V28">
        <f>SUM(V2:V16)</f>
        <v>45847.976112745993</v>
      </c>
      <c r="W28">
        <f t="shared" ref="W28:X28" si="4">SUM(W2:W16)</f>
        <v>398499</v>
      </c>
      <c r="X28">
        <f t="shared" si="4"/>
        <v>1714261</v>
      </c>
      <c r="AC28" s="6">
        <f>SUM(AC2:AC16)</f>
        <v>1240.3980000000001</v>
      </c>
      <c r="AI28" s="12">
        <v>1</v>
      </c>
      <c r="AJ28" s="4">
        <f>SUM(AJ2:AJ16)</f>
        <v>959573</v>
      </c>
      <c r="AK28" s="11">
        <f>AJ28/BK27</f>
        <v>9.5804970097544899</v>
      </c>
      <c r="AX28" s="3">
        <f>O28/$V28</f>
        <v>2.9716032726550493E-2</v>
      </c>
      <c r="AY28" s="3">
        <f t="shared" ref="AY28:AZ28" si="5">P28/$V28</f>
        <v>2.7772468608759853E-2</v>
      </c>
      <c r="AZ28" s="3">
        <f t="shared" si="5"/>
        <v>3.1821266698719909E-2</v>
      </c>
      <c r="BK28" s="6">
        <f>SUM(BK2:BK16)</f>
        <v>228449</v>
      </c>
      <c r="BN28" s="3">
        <f>AC28/BK28</f>
        <v>5.4296495060166608E-3</v>
      </c>
      <c r="BO28" s="3"/>
      <c r="BP28" s="13"/>
      <c r="BQ28" s="13"/>
      <c r="BR28" s="13"/>
      <c r="BS28" s="13"/>
      <c r="BT28" s="13"/>
      <c r="BU28" s="13"/>
      <c r="BV28" s="13"/>
    </row>
    <row r="29" spans="1:80" x14ac:dyDescent="0.2">
      <c r="A29" t="s">
        <v>157</v>
      </c>
      <c r="O29">
        <f>O2+O3+SUM(O7:O13)+O15+O16</f>
        <v>890.44629399384155</v>
      </c>
      <c r="P29">
        <f t="shared" ref="P29:Q29" si="6">P2+P3+SUM(P7:P13)+P15+P16</f>
        <v>840.80507685934174</v>
      </c>
      <c r="Q29">
        <f t="shared" si="6"/>
        <v>946.02412240944477</v>
      </c>
      <c r="V29">
        <f t="shared" ref="V29" si="7">V2+V3+SUM(V7:V13)+V15+V16</f>
        <v>18660.699167558847</v>
      </c>
      <c r="AX29" s="3">
        <f>O29/$V29</f>
        <v>4.771773479644642E-2</v>
      </c>
      <c r="AY29" s="3">
        <f t="shared" ref="AY29" si="8">P29/$V29</f>
        <v>4.5057533445534564E-2</v>
      </c>
      <c r="AZ29" s="3">
        <f t="shared" ref="AZ29" si="9">Q29/$V29</f>
        <v>5.0696070598152281E-2</v>
      </c>
    </row>
    <row r="30" spans="1:80" x14ac:dyDescent="0.2">
      <c r="N30" t="s">
        <v>164</v>
      </c>
      <c r="O30">
        <v>1500</v>
      </c>
      <c r="U30" t="s">
        <v>122</v>
      </c>
      <c r="V30">
        <v>85276.604788356199</v>
      </c>
      <c r="BQ30" s="1" t="s">
        <v>21</v>
      </c>
    </row>
    <row r="31" spans="1:80" x14ac:dyDescent="0.2">
      <c r="A31" t="s">
        <v>147</v>
      </c>
      <c r="N31" t="s">
        <v>165</v>
      </c>
      <c r="O31">
        <v>8760</v>
      </c>
      <c r="W31" s="11">
        <f>SUM(W2:W6)</f>
        <v>162037</v>
      </c>
      <c r="X31" s="11">
        <f>SUM(X2:X6)</f>
        <v>643575</v>
      </c>
      <c r="Z31" s="11">
        <f>SUM(Z2:Z6)</f>
        <v>3866</v>
      </c>
      <c r="AA31" s="11">
        <f t="shared" ref="AA31:AE31" si="10">SUM(AA2:AA6)</f>
        <v>3608.7259999999997</v>
      </c>
      <c r="AB31" s="11">
        <f t="shared" si="10"/>
        <v>2358</v>
      </c>
      <c r="AC31" s="11">
        <f t="shared" si="10"/>
        <v>1060.8520000000001</v>
      </c>
      <c r="AD31" s="11">
        <f t="shared" si="10"/>
        <v>3335</v>
      </c>
      <c r="AE31" s="11">
        <f t="shared" si="10"/>
        <v>1738</v>
      </c>
      <c r="AJ31" s="11">
        <f t="shared" ref="AJ31" si="11">SUM(AJ2:AJ6)</f>
        <v>375906</v>
      </c>
      <c r="AK31">
        <f>AJ31/BK31</f>
        <v>3.9587387842790345</v>
      </c>
      <c r="BK31" s="11">
        <f t="shared" ref="BK31" si="12">SUM(BK2:BK6)</f>
        <v>94956</v>
      </c>
      <c r="BQ31" s="1" t="s">
        <v>123</v>
      </c>
    </row>
    <row r="32" spans="1:80" x14ac:dyDescent="0.2">
      <c r="A32" t="s">
        <v>148</v>
      </c>
      <c r="N32" t="s">
        <v>174</v>
      </c>
      <c r="O32">
        <v>82.5</v>
      </c>
      <c r="P32" t="s">
        <v>175</v>
      </c>
      <c r="Q32" t="s">
        <v>176</v>
      </c>
      <c r="W32" s="11">
        <f>SUM(W7:W11)</f>
        <v>180339</v>
      </c>
      <c r="X32" s="11">
        <f>SUM(X7:X11)</f>
        <v>870400</v>
      </c>
      <c r="Z32" s="11">
        <f>SUM(Z7:Z11)</f>
        <v>352</v>
      </c>
      <c r="AA32" s="11">
        <f t="shared" ref="AA32:AE32" si="13">SUM(AA7:AA11)</f>
        <v>326.233</v>
      </c>
      <c r="AB32" s="11">
        <f t="shared" si="13"/>
        <v>195</v>
      </c>
      <c r="AC32" s="11">
        <f t="shared" si="13"/>
        <v>68.13</v>
      </c>
      <c r="AD32" s="11">
        <f t="shared" si="13"/>
        <v>423</v>
      </c>
      <c r="AE32" s="11">
        <f t="shared" si="13"/>
        <v>236</v>
      </c>
      <c r="AJ32" s="11">
        <f t="shared" ref="AJ32" si="14">SUM(AJ7:AJ11)</f>
        <v>455616</v>
      </c>
      <c r="AK32">
        <f t="shared" ref="AK32:AK34" si="15">AJ32/BK32</f>
        <v>4.7363299929310987</v>
      </c>
      <c r="BK32" s="11">
        <f t="shared" ref="BK32" si="16">SUM(BK7:BK11)</f>
        <v>96196</v>
      </c>
      <c r="BQ32" t="s">
        <v>22</v>
      </c>
    </row>
    <row r="33" spans="1:69" x14ac:dyDescent="0.2">
      <c r="A33" t="s">
        <v>149</v>
      </c>
      <c r="N33" t="s">
        <v>171</v>
      </c>
      <c r="O33" s="15">
        <f>O27*$O$31</f>
        <v>6278923.0963163488</v>
      </c>
      <c r="P33" s="15">
        <f>P27*$O$31</f>
        <v>5919697.7366775582</v>
      </c>
      <c r="Q33" s="15">
        <f>Q27*$O$31</f>
        <v>6660157.3015844431</v>
      </c>
      <c r="W33" s="11">
        <f>W12+W13</f>
        <v>23359</v>
      </c>
      <c r="X33" s="11">
        <f>X12+X13</f>
        <v>127167</v>
      </c>
      <c r="Z33" s="11">
        <f>Z12+Z13</f>
        <v>74</v>
      </c>
      <c r="AA33" s="11">
        <f t="shared" ref="AA33:AE33" si="17">AA12+AA13</f>
        <v>58.742000000000004</v>
      </c>
      <c r="AB33" s="11">
        <f t="shared" si="17"/>
        <v>60</v>
      </c>
      <c r="AC33" s="11">
        <f t="shared" si="17"/>
        <v>16.971</v>
      </c>
      <c r="AD33" s="11">
        <f t="shared" si="17"/>
        <v>53</v>
      </c>
      <c r="AE33" s="11">
        <f t="shared" si="17"/>
        <v>30</v>
      </c>
      <c r="AJ33" s="11">
        <f t="shared" ref="AJ33" si="18">AJ12+AJ13</f>
        <v>79043</v>
      </c>
      <c r="AK33">
        <f t="shared" si="15"/>
        <v>5.4441077209174189</v>
      </c>
      <c r="BK33" s="11">
        <f t="shared" ref="BK33" si="19">BK12+BK13</f>
        <v>14519</v>
      </c>
      <c r="BQ33" t="s">
        <v>56</v>
      </c>
    </row>
    <row r="34" spans="1:69" x14ac:dyDescent="0.2">
      <c r="A34" t="s">
        <v>156</v>
      </c>
      <c r="N34" t="s">
        <v>173</v>
      </c>
      <c r="O34" s="15">
        <f>O33*$O$32</f>
        <v>518011155.44609874</v>
      </c>
      <c r="P34" s="15">
        <f t="shared" ref="P34:Q34" si="20">P33*$O$32</f>
        <v>488375063.27589858</v>
      </c>
      <c r="Q34" s="15">
        <f t="shared" si="20"/>
        <v>549462977.38071656</v>
      </c>
      <c r="W34" s="17">
        <f>SUM(W31:W33)</f>
        <v>365735</v>
      </c>
      <c r="X34" s="17">
        <f>SUM(X31:X33)</f>
        <v>1641142</v>
      </c>
      <c r="AJ34" s="11">
        <f>SUM(AJ31:AJ33)</f>
        <v>910565</v>
      </c>
      <c r="AK34">
        <f t="shared" si="15"/>
        <v>4.4272892143277369</v>
      </c>
      <c r="BK34" s="11">
        <f>SUM(BK31:BK33)</f>
        <v>205671</v>
      </c>
      <c r="BQ34" t="s">
        <v>57</v>
      </c>
    </row>
    <row r="35" spans="1:69" x14ac:dyDescent="0.2">
      <c r="N35" t="s">
        <v>169</v>
      </c>
      <c r="O35" s="11">
        <f>O33*$O$30</f>
        <v>9418384644.4745235</v>
      </c>
      <c r="P35" s="11">
        <f>P33*$O$30</f>
        <v>8879546605.0163364</v>
      </c>
      <c r="Q35" s="11">
        <f>Q33*$O$30</f>
        <v>9990235952.3766651</v>
      </c>
      <c r="BQ35" t="s">
        <v>58</v>
      </c>
    </row>
    <row r="36" spans="1:69" x14ac:dyDescent="0.2">
      <c r="N36" t="s">
        <v>166</v>
      </c>
      <c r="O36">
        <v>3</v>
      </c>
      <c r="U36" s="15">
        <f>V27*$O31/$O37</f>
        <v>12128733620.368668</v>
      </c>
      <c r="BQ36" t="s">
        <v>59</v>
      </c>
    </row>
    <row r="37" spans="1:69" x14ac:dyDescent="0.2">
      <c r="N37" t="s">
        <v>167</v>
      </c>
      <c r="O37">
        <v>1.7330000000000002E-2</v>
      </c>
      <c r="U37" s="15">
        <f>V30*$O31/$O37</f>
        <v>43105773684.131577</v>
      </c>
      <c r="BQ37" t="s">
        <v>74</v>
      </c>
    </row>
    <row r="38" spans="1:69" x14ac:dyDescent="0.2">
      <c r="N38" t="s">
        <v>170</v>
      </c>
      <c r="O38" s="15">
        <f>O33/$O$37</f>
        <v>362315239.25656945</v>
      </c>
      <c r="P38" s="15">
        <f>P33/$O$37</f>
        <v>341586713.02236336</v>
      </c>
      <c r="Q38" s="15">
        <f>Q33/$O$37</f>
        <v>384313750.8127203</v>
      </c>
      <c r="BQ38" t="s">
        <v>75</v>
      </c>
    </row>
    <row r="39" spans="1:69" x14ac:dyDescent="0.2">
      <c r="N39" t="s">
        <v>168</v>
      </c>
      <c r="O39" s="15">
        <f>O38*$O$36</f>
        <v>1086945717.7697084</v>
      </c>
      <c r="P39" s="15">
        <f>P38*$O$36</f>
        <v>1024760139.06709</v>
      </c>
      <c r="Q39" s="15">
        <f>Q38*$O$36</f>
        <v>1152941252.4381609</v>
      </c>
      <c r="BQ39" t="s">
        <v>76</v>
      </c>
    </row>
    <row r="40" spans="1:69" x14ac:dyDescent="0.2">
      <c r="N40" t="s">
        <v>172</v>
      </c>
      <c r="O40">
        <f>O36/O37</f>
        <v>173.11021350259665</v>
      </c>
      <c r="BQ40" t="s">
        <v>85</v>
      </c>
    </row>
    <row r="41" spans="1:69" x14ac:dyDescent="0.2">
      <c r="BQ41" t="s">
        <v>111</v>
      </c>
    </row>
    <row r="42" spans="1:69" x14ac:dyDescent="0.2">
      <c r="BQ42" t="s">
        <v>26</v>
      </c>
    </row>
    <row r="43" spans="1:69" x14ac:dyDescent="0.2">
      <c r="BQ43" t="s">
        <v>32</v>
      </c>
    </row>
    <row r="44" spans="1:69" x14ac:dyDescent="0.2">
      <c r="BQ44" t="s">
        <v>29</v>
      </c>
    </row>
    <row r="45" spans="1:69" x14ac:dyDescent="0.2">
      <c r="BQ45" t="s">
        <v>51</v>
      </c>
    </row>
    <row r="46" spans="1:69" x14ac:dyDescent="0.2">
      <c r="BQ46" t="s">
        <v>49</v>
      </c>
    </row>
    <row r="47" spans="1:69" x14ac:dyDescent="0.2">
      <c r="BQ47" t="s">
        <v>48</v>
      </c>
    </row>
    <row r="48" spans="1:69" x14ac:dyDescent="0.2">
      <c r="BQ48" t="s">
        <v>52</v>
      </c>
    </row>
    <row r="49" spans="69:69" x14ac:dyDescent="0.2">
      <c r="BQ49" t="s">
        <v>117</v>
      </c>
    </row>
    <row r="50" spans="69:69" x14ac:dyDescent="0.2">
      <c r="BQ50" t="s">
        <v>114</v>
      </c>
    </row>
    <row r="51" spans="69:69" x14ac:dyDescent="0.2">
      <c r="BQ51" t="s">
        <v>28</v>
      </c>
    </row>
    <row r="52" spans="69:69" x14ac:dyDescent="0.2">
      <c r="BQ52" t="s">
        <v>118</v>
      </c>
    </row>
    <row r="53" spans="69:69" x14ac:dyDescent="0.2">
      <c r="BQ53" t="s">
        <v>115</v>
      </c>
    </row>
    <row r="54" spans="69:69" x14ac:dyDescent="0.2">
      <c r="BQ54" t="s">
        <v>116</v>
      </c>
    </row>
    <row r="55" spans="69:69" x14ac:dyDescent="0.2">
      <c r="BQ55" t="s">
        <v>119</v>
      </c>
    </row>
    <row r="56" spans="69:69" x14ac:dyDescent="0.2">
      <c r="BQ56" t="s">
        <v>120</v>
      </c>
    </row>
    <row r="57" spans="69:69" x14ac:dyDescent="0.2">
      <c r="BQ57" t="s">
        <v>113</v>
      </c>
    </row>
    <row r="58" spans="69:69" x14ac:dyDescent="0.2">
      <c r="BQ58" t="s">
        <v>30</v>
      </c>
    </row>
    <row r="59" spans="69:69" x14ac:dyDescent="0.2">
      <c r="BQ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163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163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163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163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163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163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163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163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163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163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163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163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163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163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163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163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163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163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site'!BY3</f>
        <v>0</v>
      </c>
      <c r="C2" t="e">
        <f>'By site'!AX3/'By site visit'!AL2</f>
        <v>#DIV/0!</v>
      </c>
      <c r="D2" t="e">
        <f>B2/C2</f>
        <v>#DIV/0!</v>
      </c>
      <c r="G2" s="10">
        <f>'By site visit'!AN2/'By site'!AX3-1</f>
        <v>-1</v>
      </c>
    </row>
    <row r="3" spans="1:7" x14ac:dyDescent="0.2">
      <c r="A3" t="s">
        <v>2</v>
      </c>
      <c r="B3">
        <f>'By site visit'!AV3/'By site'!BY4</f>
        <v>0</v>
      </c>
      <c r="C3">
        <f>'By site'!AX4/'By site visit'!AL3</f>
        <v>5.5276717588454205E-2</v>
      </c>
      <c r="D3">
        <f t="shared" ref="D3:D15" si="0">B3/C3</f>
        <v>0</v>
      </c>
      <c r="G3" s="10">
        <f>'By site visit'!AN3/'By site'!AX4-1</f>
        <v>-0.99278357982787513</v>
      </c>
    </row>
    <row r="4" spans="1:7" x14ac:dyDescent="0.2">
      <c r="A4" t="s">
        <v>27</v>
      </c>
      <c r="B4" t="e">
        <f>'By site visit'!AV4/'By site'!BY5</f>
        <v>#DIV/0!</v>
      </c>
      <c r="C4" t="e">
        <f>'By site'!AX5/'By site visit'!AL4</f>
        <v>#DIV/0!</v>
      </c>
      <c r="D4" t="e">
        <f t="shared" si="0"/>
        <v>#DIV/0!</v>
      </c>
      <c r="G4" s="10" t="e">
        <f>'By site visit'!AN4/'By site'!AX5-1</f>
        <v>#DIV/0!</v>
      </c>
    </row>
    <row r="5" spans="1:7" x14ac:dyDescent="0.2">
      <c r="A5" t="s">
        <v>3</v>
      </c>
      <c r="B5" t="e">
        <f>'By site visit'!AV5/'By site'!BY6</f>
        <v>#DIV/0!</v>
      </c>
      <c r="C5" t="e">
        <f>'By site'!AX6/'By site visit'!AL5</f>
        <v>#DIV/0!</v>
      </c>
      <c r="D5" t="e">
        <f t="shared" si="0"/>
        <v>#DIV/0!</v>
      </c>
      <c r="G5" s="10" t="e">
        <f>'By site visit'!AN5/'By site'!AX6-1</f>
        <v>#DIV/0!</v>
      </c>
    </row>
    <row r="6" spans="1:7" x14ac:dyDescent="0.2">
      <c r="A6" t="s">
        <v>4</v>
      </c>
      <c r="B6" t="e">
        <f>'By site visit'!AV6/'By site'!BY7</f>
        <v>#DIV/0!</v>
      </c>
      <c r="C6" t="e">
        <f>'By site'!AX7/'By site visit'!AL6</f>
        <v>#DIV/0!</v>
      </c>
      <c r="D6" t="e">
        <f t="shared" si="0"/>
        <v>#DIV/0!</v>
      </c>
      <c r="G6" s="10" t="e">
        <f>'By site visit'!AN6/'By site'!AX7-1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site'!AX8-1</f>
        <v>#DIV/0!</v>
      </c>
    </row>
    <row r="8" spans="1:7" x14ac:dyDescent="0.2">
      <c r="A8" t="s">
        <v>6</v>
      </c>
      <c r="B8" t="e">
        <f>'By site visit'!AV8/'By site'!BY10</f>
        <v>#DIV/0!</v>
      </c>
      <c r="C8" t="e">
        <f>'By site'!AX10/'By site visit'!AL8</f>
        <v>#DIV/0!</v>
      </c>
      <c r="D8" t="e">
        <f t="shared" si="0"/>
        <v>#DIV/0!</v>
      </c>
      <c r="G8" s="10" t="e">
        <f>'By site visit'!AN8/'By site'!AX9-1</f>
        <v>#DIV/0!</v>
      </c>
    </row>
    <row r="9" spans="1:7" x14ac:dyDescent="0.2">
      <c r="A9" t="s">
        <v>5</v>
      </c>
      <c r="B9">
        <f>'By site visit'!AV9/'By site'!BY11</f>
        <v>0</v>
      </c>
      <c r="C9" t="e">
        <f>'By site'!AX11/'By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site'!BY12</f>
        <v>#DIV/0!</v>
      </c>
      <c r="C10" t="e">
        <f>'By site'!AX12/'By site visit'!AL10</f>
        <v>#DIV/0!</v>
      </c>
      <c r="D10" t="e">
        <f t="shared" si="0"/>
        <v>#DIV/0!</v>
      </c>
      <c r="G10" s="10" t="e">
        <f>'By site visit'!AN10/'By site'!AX10-1</f>
        <v>#DIV/0!</v>
      </c>
    </row>
    <row r="11" spans="1:7" x14ac:dyDescent="0.2">
      <c r="A11" t="s">
        <v>9</v>
      </c>
      <c r="B11" t="e">
        <f>'By site visit'!AV11/'By site'!BY13</f>
        <v>#DIV/0!</v>
      </c>
      <c r="C11" t="e">
        <f>'By site'!AX13/'By site visit'!AL11</f>
        <v>#DIV/0!</v>
      </c>
      <c r="D11" t="e">
        <f t="shared" si="0"/>
        <v>#DIV/0!</v>
      </c>
      <c r="G11" s="10" t="e">
        <f>'By site visit'!AN11/'By site'!AX11-1</f>
        <v>#DIV/0!</v>
      </c>
    </row>
    <row r="12" spans="1:7" x14ac:dyDescent="0.2">
      <c r="A12" t="s">
        <v>10</v>
      </c>
      <c r="B12" t="e">
        <f>'By site visit'!AV12/'By site'!BY14</f>
        <v>#DIV/0!</v>
      </c>
      <c r="C12" t="e">
        <f>'By site'!AX14/'By site visit'!AL12</f>
        <v>#DIV/0!</v>
      </c>
      <c r="D12" t="e">
        <f t="shared" si="0"/>
        <v>#DIV/0!</v>
      </c>
      <c r="G12" s="10" t="e">
        <f>'By site visit'!AN12/'By site'!AX12-1</f>
        <v>#DIV/0!</v>
      </c>
    </row>
    <row r="13" spans="1:7" x14ac:dyDescent="0.2">
      <c r="A13" t="s">
        <v>11</v>
      </c>
      <c r="B13" t="e">
        <f>'By site visit'!AV13/'By site'!BY15</f>
        <v>#DIV/0!</v>
      </c>
      <c r="C13" t="e">
        <f>'By site'!AX15/'By site visit'!AL13</f>
        <v>#DIV/0!</v>
      </c>
      <c r="D13" t="e">
        <f t="shared" si="0"/>
        <v>#DIV/0!</v>
      </c>
      <c r="G13" s="10" t="e">
        <f>'By site visit'!AN13/'By site'!AX13-1</f>
        <v>#DIV/0!</v>
      </c>
    </row>
    <row r="14" spans="1:7" x14ac:dyDescent="0.2">
      <c r="A14" t="s">
        <v>12</v>
      </c>
      <c r="B14" t="e">
        <f>'By site visit'!AV14/'By site'!BY16</f>
        <v>#DIV/0!</v>
      </c>
      <c r="C14" t="e">
        <f>'By site'!AX16/'By site visit'!AL14</f>
        <v>#DIV/0!</v>
      </c>
      <c r="D14" t="e">
        <f t="shared" si="0"/>
        <v>#DIV/0!</v>
      </c>
      <c r="G14" s="10" t="e">
        <f>'By site visit'!AN14/'By site'!AX14-1</f>
        <v>#DIV/0!</v>
      </c>
    </row>
    <row r="15" spans="1:7" x14ac:dyDescent="0.2">
      <c r="A15" t="s">
        <v>16</v>
      </c>
      <c r="B15" t="e">
        <f>'By site visit'!AV15/'By site'!BY17</f>
        <v>#DIV/0!</v>
      </c>
      <c r="C15" t="e">
        <f>'By site'!AX17/'By site visit'!AL15</f>
        <v>#DIV/0!</v>
      </c>
      <c r="D15" t="e">
        <f t="shared" si="0"/>
        <v>#DIV/0!</v>
      </c>
      <c r="G15" s="10" t="e">
        <f>'By site visit'!AN15/'By site'!AX15-1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By site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2023-03-09T02:21:08Z</dcterms:modified>
</cp:coreProperties>
</file>