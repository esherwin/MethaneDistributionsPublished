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A5963A3E-C944-B845-9D93-252B8C579DDF}" xr6:coauthVersionLast="47" xr6:coauthVersionMax="47" xr10:uidLastSave="{00000000-0000-0000-0000-000000000000}"/>
  <bookViews>
    <workbookView xWindow="3420" yWindow="820" windowWidth="22540" windowHeight="17080" activeTab="2" xr2:uid="{DA729304-F74A-A044-AD1E-035DDE35C875}"/>
  </bookViews>
  <sheets>
    <sheet name="ReadMe" sheetId="9" r:id="rId1"/>
    <sheet name="By site" sheetId="1" r:id="rId2"/>
    <sheet name="Tables for paper" sheetId="8" r:id="rId3"/>
    <sheet name="By site visit" sheetId="2" r:id="rId4"/>
    <sheet name="By site no strat" sheetId="4" r:id="rId5"/>
    <sheet name="Comparis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0" i="8" l="1"/>
  <c r="B89" i="8"/>
  <c r="B87" i="8"/>
  <c r="B88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AA66" i="8"/>
  <c r="Z69" i="8" l="1"/>
  <c r="AB69" i="8"/>
  <c r="AA69" i="8"/>
  <c r="AA59" i="8"/>
  <c r="AB66" i="8"/>
  <c r="AA65" i="8"/>
  <c r="AB65" i="8"/>
  <c r="AB64" i="8"/>
  <c r="AB63" i="8"/>
  <c r="AB62" i="8"/>
  <c r="AB61" i="8"/>
  <c r="AB60" i="8"/>
  <c r="AB59" i="8"/>
  <c r="AB58" i="8"/>
  <c r="AB57" i="8"/>
  <c r="AB56" i="8"/>
  <c r="AB55" i="8"/>
  <c r="AB54" i="8"/>
  <c r="AB53" i="8"/>
  <c r="AB52" i="8"/>
  <c r="AB51" i="8"/>
  <c r="AB50" i="8"/>
  <c r="AB49" i="8"/>
  <c r="AB48" i="8"/>
  <c r="AB47" i="8"/>
  <c r="AA47" i="8"/>
  <c r="AA64" i="8"/>
  <c r="AA63" i="8"/>
  <c r="AA62" i="8"/>
  <c r="AA61" i="8"/>
  <c r="AA60" i="8"/>
  <c r="AA58" i="8"/>
  <c r="AA57" i="8"/>
  <c r="AA56" i="8"/>
  <c r="AA55" i="8"/>
  <c r="AA54" i="8"/>
  <c r="AA53" i="8"/>
  <c r="AA52" i="8"/>
  <c r="AA51" i="8"/>
  <c r="AA50" i="8"/>
  <c r="AA49" i="8"/>
  <c r="AA48" i="8"/>
  <c r="U35" i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<sst xmlns="http://schemas.openxmlformats.org/spreadsheetml/2006/main" count="862" uniqueCount="274">
  <si>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</si>
  <si>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</si>
  <si>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</si>
  <si>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</si>
  <si>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</si>
  <si>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</si>
  <si>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</si>
  <si>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</si>
  <si>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</si>
  <si>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</si>
  <si>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</si>
  <si>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</si>
  <si>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</si>
  <si>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</si>
  <si>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</si>
  <si>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</si>
  <si>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</si>
  <si>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</si>
  <si>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</si>
  <si>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</si>
  <si>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</si>
  <si>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</si>
  <si>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</si>
  <si>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</si>
  <si>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</si>
  <si>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</si>
  <si>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</si>
  <si>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</si>
  <si>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</si>
  <si>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</si>
  <si>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</si>
  <si>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</si>
  <si>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</si>
  <si>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</si>
  <si>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</si>
  <si>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</si>
  <si>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</si>
  <si>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</si>
  <si>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</si>
  <si>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</si>
  <si>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</si>
  <si>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</si>
  <si>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</si>
  <si>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</si>
  <si>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</si>
  <si>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</si>
  <si>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</si>
  <si>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</si>
  <si>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</si>
  <si>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</si>
  <si>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</si>
  <si>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</si>
  <si>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</si>
  <si>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</si>
  <si>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</si>
  <si>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</si>
  <si>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</si>
  <si>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</si>
  <si>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</si>
  <si>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</si>
  <si>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</si>
  <si>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</si>
  <si>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</si>
  <si>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</si>
  <si>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</si>
  <si>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</si>
  <si>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</si>
  <si>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</si>
  <si>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</si>
  <si>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</si>
  <si>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</si>
  <si>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</si>
  <si>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</si>
  <si>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</si>
  <si>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</si>
  <si>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</si>
  <si>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</si>
  <si>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</si>
  <si>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</si>
  <si>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</si>
  <si>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</si>
  <si>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</si>
  <si>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</si>
  <si>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</si>
  <si>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</si>
  <si>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</si>
  <si>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</si>
  <si>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</si>
  <si>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</si>
  <si>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</si>
  <si>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</si>
  <si>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</si>
  <si>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</si>
  <si>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</si>
  <si>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</si>
  <si>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</si>
  <si>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</si>
  <si>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</si>
  <si>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</si>
  <si>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</si>
  <si>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</si>
  <si>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</si>
  <si>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</si>
  <si>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</si>
  <si>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</si>
  <si>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</si>
  <si>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</si>
  <si>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</si>
  <si>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</si>
  <si>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</si>
  <si>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</si>
  <si>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</si>
  <si>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</si>
  <si>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</si>
  <si>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</si>
  <si>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</si>
  <si>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</si>
  <si>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</si>
  <si>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</si>
  <si>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</si>
  <si>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</si>
  <si>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</si>
  <si>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</si>
  <si>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</si>
  <si>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</si>
  <si>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</si>
  <si>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</si>
  <si>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</si>
  <si>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</si>
  <si>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</si>
  <si>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</si>
  <si>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</si>
  <si>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</si>
  <si>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</si>
  <si>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</si>
  <si>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</si>
  <si>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</si>
  <si>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</si>
  <si>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</si>
  <si>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</si>
  <si>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</si>
  <si>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</si>
  <si>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</si>
  <si>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</si>
  <si>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</si>
  <si>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</si>
  <si>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</si>
  <si>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</si>
  <si>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</si>
  <si>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</si>
  <si>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</si>
  <si>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</si>
  <si>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</si>
  <si>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</si>
  <si>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</si>
  <si>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</si>
  <si>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</si>
  <si>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</si>
  <si>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</si>
  <si>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</si>
  <si>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</si>
  <si>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</si>
  <si>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</si>
  <si>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</si>
  <si>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</si>
  <si>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</si>
  <si>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</si>
  <si>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</si>
  <si>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</si>
  <si>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</si>
  <si>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</si>
  <si>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</si>
  <si>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</si>
  <si>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</si>
  <si>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</si>
  <si>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</si>
  <si>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</si>
  <si>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</si>
  <si>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</si>
  <si>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</si>
  <si>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</si>
  <si>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</si>
  <si>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</si>
  <si>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</si>
  <si>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</si>
  <si>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</si>
  <si>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</si>
  <si>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</si>
  <si>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</si>
  <si>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</si>
  <si>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</si>
  <si>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</si>
  <si>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</si>
  <si>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</si>
  <si>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</si>
  <si>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</si>
  <si>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</si>
  <si>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</si>
  <si>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</si>
  <si>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</si>
  <si>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</si>
  <si>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</si>
  <si>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</si>
  <si>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</si>
  <si>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</si>
  <si>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</si>
  <si>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</si>
  <si>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</si>
  <si>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</si>
  <si>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</si>
  <si>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</si>
  <si>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</si>
  <si>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</si>
  <si>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</si>
  <si>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</si>
  <si>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</si>
  <si>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</si>
  <si>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</si>
  <si>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</si>
  <si>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</si>
  <si>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</si>
  <si>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</si>
  <si>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</si>
  <si>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</si>
  <si>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</si>
  <si>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</si>
  <si>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</si>
  <si>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</si>
  <si>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</si>
  <si>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</si>
  <si>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</si>
  <si>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</si>
  <si>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</si>
  <si>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</si>
  <si>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</si>
  <si>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</si>
  <si>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</si>
  <si>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</si>
  <si>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</si>
  <si>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</si>
  <si>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</si>
  <si>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</si>
  <si>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</si>
  <si>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</si>
  <si>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</si>
  <si>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</si>
  <si>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</si>
  <si>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</si>
  <si>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</si>
  <si>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</si>
  <si>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</si>
  <si>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</si>
  <si>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</si>
  <si>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</si>
  <si>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</si>
  <si>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</si>
  <si>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# avg midstream sources sim</t>
  </si>
  <si>
    <t>These data represent model outputs for Sherwin et al. 2023</t>
  </si>
  <si>
    <t>Methane emissions quantities are presented in metric ton per hour</t>
  </si>
  <si>
    <t>Tot aerially measured emissions inc below detection limit</t>
  </si>
  <si>
    <t>Cusworth O&amp;G emissions</t>
  </si>
  <si>
    <t>Cusworth/Our study</t>
  </si>
  <si>
    <t>Table 17</t>
  </si>
  <si>
    <t>Southwest_Pennsylvania_2021</t>
  </si>
  <si>
    <t>P2.5</t>
  </si>
  <si>
    <t>P97.5</t>
  </si>
  <si>
    <t>PA 2021 CI mult</t>
  </si>
  <si>
    <t>Mean</t>
  </si>
  <si>
    <t>Total excluding repeats</t>
  </si>
  <si>
    <t>GHGI emissions t/h</t>
  </si>
  <si>
    <t>Estimated emission rate</t>
  </si>
  <si>
    <t>Our estimate as multiplier of GHGi</t>
  </si>
  <si>
    <t>Our estimate as a multiplier of Alvarez et al</t>
  </si>
  <si>
    <t>Table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</si>
</sst>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0.000000"/>
    <numFmt numFmtId="168" formatCode="_(* #,##0.0000_);_(* \(#,##0.0000\);_(* &quot;-&quot;??_);_(@_)"/>
    <numFmt numFmtId="169" formatCode="0.00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67" fontId="0" fillId="0" borderId="0" xfId="0" applyNumberFormat="1"/>
    <xf numFmtId="168" fontId="0" fillId="0" borderId="0" xfId="2" applyNumberFormat="1" applyFont="1"/>
    <xf numFmtId="0" fontId="3" fillId="0" borderId="0" xfId="0" applyFont="1"/>
    <xf numFmtId="9" fontId="0" fillId="0" borderId="0" xfId="1" applyNumberFormat="1" applyFont="1"/>
    <xf numFmtId="16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4D91-20EA-5B49-A447-2C2C78A5B11B}">
  <dimension ref="A1:A2"/>
  <sheetViews>
    <sheetView workbookViewId="0">
      <selection activeCell="B12" sqref="B12"/>
    </sheetView>
  </sheetViews>
  <sheetFormatPr baseColWidth="10" defaultRowHeight="16" x14ac:dyDescent="0.2"/>
  <sheetData>
    <row r="1" spans="1:1" x14ac:dyDescent="0.2">
      <c r="A1" t="s">
        <v>257</v>
      </c>
    </row>
    <row r="2" spans="1:1" x14ac:dyDescent="0.2">
      <c r="A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workbookViewId="0">
      <pane xSplit="1" ySplit="1" topLeftCell="DH2" activePane="bottomRight" state="frozen"/>
      <selection pane="topRight" activeCell="B1" sqref="B1"/>
      <selection pane="bottomLeft" activeCell="A2" sqref="A2"/>
      <selection pane="bottomRight" activeCell="DO1" sqref="DO1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256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244</v>
      </c>
      <c r="CS1" t="s">
        <v>245</v>
      </c>
      <c r="CT1" t="s">
        <v>246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247</v>
      </c>
      <c r="EC1" t="s">
        <v>248</v>
      </c>
      <c r="ED1" t="s">
        <v>249</v>
      </c>
      <c r="EE1" t="s">
        <v>250</v>
      </c>
      <c r="EF1" t="s">
        <v>251</v>
      </c>
      <c r="EG1" t="s">
        <v>252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>
        <v>181.8</v>
      </c>
      <c r="AM2" s="4">
        <v>25.354486379509101</v>
      </c>
      <c r="AN2" s="6" t="s">
        <v>37</v>
      </c>
      <c r="AO2" s="11" t="s">
        <v>36</v>
      </c>
      <c r="AP2" s="12" t="s">
        <v>238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 s="3">
        <v>2.5194203453842198E-2</v>
      </c>
      <c r="DU2" s="3">
        <v>1.8863949866042201E-2</v>
      </c>
      <c r="DV2" s="3">
        <v>1.1999417562604101E-2</v>
      </c>
      <c r="DW2" s="3">
        <v>1.16473518212658E-2</v>
      </c>
      <c r="DX2" s="3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>
        <v>374.3</v>
      </c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 s="3">
        <v>0</v>
      </c>
      <c r="DU3" s="3">
        <v>0</v>
      </c>
      <c r="DV3" s="3"/>
      <c r="DW3" s="3"/>
      <c r="DX3" s="3"/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>
        <v>121.4</v>
      </c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 s="3">
        <v>0</v>
      </c>
      <c r="DU4" s="3">
        <v>0</v>
      </c>
      <c r="DV4" s="3"/>
      <c r="DW4" s="3"/>
      <c r="DX4" s="3"/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>
        <v>124.3</v>
      </c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 s="3">
        <v>0</v>
      </c>
      <c r="DU5" s="3">
        <v>0</v>
      </c>
      <c r="DV5" s="3"/>
      <c r="DW5" s="3"/>
      <c r="DX5" s="3"/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>
        <v>91.2</v>
      </c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 s="3">
        <v>0</v>
      </c>
      <c r="DU6" s="3">
        <v>0</v>
      </c>
      <c r="DV6" s="3"/>
      <c r="DW6" s="3"/>
      <c r="DX6" s="3"/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>
        <v>18.5</v>
      </c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 s="3">
        <v>0</v>
      </c>
      <c r="DU7" s="3">
        <v>0</v>
      </c>
      <c r="DV7" s="3"/>
      <c r="DW7" s="3"/>
      <c r="DX7" s="3"/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>
        <v>25.3</v>
      </c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 s="3">
        <v>0</v>
      </c>
      <c r="DU8" s="3">
        <v>0</v>
      </c>
      <c r="DV8" s="3"/>
      <c r="DW8" s="3"/>
      <c r="DX8" s="3"/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>
        <v>16.899999999999999</v>
      </c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 s="3">
        <v>0</v>
      </c>
      <c r="DU9" s="3">
        <v>0</v>
      </c>
      <c r="DV9" s="3"/>
      <c r="DW9" s="3"/>
      <c r="DX9" s="3"/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>
        <v>9.4</v>
      </c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 s="3">
        <v>0</v>
      </c>
      <c r="DU10" s="3">
        <v>0</v>
      </c>
      <c r="DV10" s="3"/>
      <c r="DW10" s="3"/>
      <c r="DX10" s="3"/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>
        <v>6.6</v>
      </c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 s="3">
        <v>0</v>
      </c>
      <c r="DU11" s="3">
        <v>0</v>
      </c>
      <c r="DV11" s="3"/>
      <c r="DW11" s="3"/>
      <c r="DX11" s="3"/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>
        <v>4.5999999999999996</v>
      </c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 s="3">
        <v>0</v>
      </c>
      <c r="DU12" s="3">
        <v>0</v>
      </c>
      <c r="DV12" s="3"/>
      <c r="DW12" s="3"/>
      <c r="DX12" s="3"/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>
        <v>7.4</v>
      </c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 s="3">
        <v>0</v>
      </c>
      <c r="DU13" s="3">
        <v>0</v>
      </c>
      <c r="DV13" s="3"/>
      <c r="DW13" s="3"/>
      <c r="DX13" s="3"/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>
        <v>11.4</v>
      </c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 s="3">
        <v>0</v>
      </c>
      <c r="DU14" s="3">
        <v>0</v>
      </c>
      <c r="DV14" s="3"/>
      <c r="DW14" s="3"/>
      <c r="DX14" s="3"/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>
        <v>16.2</v>
      </c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 s="3">
        <v>0</v>
      </c>
      <c r="DU15" s="3">
        <v>0</v>
      </c>
      <c r="DV15" s="3"/>
      <c r="DW15" s="3"/>
      <c r="DX15" s="3"/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>
        <v>19.8</v>
      </c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 s="3">
        <v>2.9240758927726599E-2</v>
      </c>
      <c r="DU16" s="3">
        <v>6.0078049808227403E-2</v>
      </c>
      <c r="DV16" s="3"/>
      <c r="DW16" s="3"/>
      <c r="DX16" s="3"/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>
        <v>102</v>
      </c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 s="3">
        <v>0</v>
      </c>
      <c r="DU17" s="3">
        <v>0</v>
      </c>
      <c r="DV17" s="3"/>
      <c r="DW17" s="3"/>
      <c r="DX17" s="3"/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>
        <v>64.2</v>
      </c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 s="3">
        <v>0</v>
      </c>
      <c r="DU18" s="3">
        <v>0</v>
      </c>
      <c r="DV18" s="3"/>
      <c r="DW18" s="3"/>
      <c r="DX18" s="3"/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>
        <v>37.4</v>
      </c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 s="3">
        <v>0</v>
      </c>
      <c r="DU19" s="3">
        <v>0</v>
      </c>
      <c r="DV19" s="3"/>
      <c r="DW19" s="3"/>
      <c r="DX19" s="3"/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4</v>
      </c>
      <c r="AK20" s="4">
        <v>4</v>
      </c>
      <c r="AL20" s="4">
        <v>3</v>
      </c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 s="3">
        <v>0</v>
      </c>
      <c r="DU20" s="3">
        <v>0</v>
      </c>
      <c r="DV20" s="3"/>
      <c r="DW20" s="3"/>
      <c r="DX20" s="3"/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 t="shared" ref="BF27:BH29" si="6">U27/$AB27</f>
        <v>2.9702759882719618E-2</v>
      </c>
      <c r="BG27" s="3">
        <f t="shared" si="6"/>
        <v>2.7991994134148802E-2</v>
      </c>
      <c r="BH27" s="3">
        <f t="shared" si="6"/>
        <v>3.1499003519999083E-2</v>
      </c>
      <c r="BS27" s="10">
        <f t="shared" ref="BS27" si="7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8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9">EC3+EC7+EC13+EC14+EC15+EC16</f>
        <v>0</v>
      </c>
      <c r="ED27" s="10">
        <f t="shared" si="9"/>
        <v>0</v>
      </c>
      <c r="EE27" s="10">
        <f>EE3+EE7+EE13+EE14+EE15+EE16</f>
        <v>232.44905199999999</v>
      </c>
      <c r="EF27" s="10">
        <f t="shared" ref="EF27:EG27" si="10">EF3+EF7+EF13+EF14+EF15+EF16</f>
        <v>0</v>
      </c>
      <c r="EG27" s="10">
        <f t="shared" si="10"/>
        <v>0</v>
      </c>
    </row>
    <row r="28" spans="1:137" x14ac:dyDescent="0.2">
      <c r="A28" t="s">
        <v>52</v>
      </c>
      <c r="O28" t="s">
        <v>253</v>
      </c>
      <c r="P28" s="10">
        <f>P27+S27+T27</f>
        <v>301.34574722971286</v>
      </c>
      <c r="U28">
        <f>SUM(U2:U16)</f>
        <v>1358.8296142659506</v>
      </c>
      <c r="V28">
        <f t="shared" ref="V28:W28" si="11">SUM(V2:V16)</f>
        <v>1270.1973579874236</v>
      </c>
      <c r="W28">
        <f t="shared" si="11"/>
        <v>1454.3520776785908</v>
      </c>
      <c r="AB28">
        <f t="shared" ref="AB28:AD28" si="12">SUM(AB2:AB16)</f>
        <v>45847.976112745993</v>
      </c>
      <c r="AC28">
        <f t="shared" si="12"/>
        <v>398499</v>
      </c>
      <c r="AD28">
        <f t="shared" si="12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 t="shared" si="6"/>
        <v>2.9637722959120726E-2</v>
      </c>
      <c r="BG28" s="3">
        <f t="shared" si="6"/>
        <v>2.7704545885817229E-2</v>
      </c>
      <c r="BH28" s="3">
        <f t="shared" si="6"/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 t="shared" si="6"/>
        <v>4.6273607953268771E-2</v>
      </c>
      <c r="BG29" s="3">
        <f t="shared" si="6"/>
        <v>4.3964311189287064E-2</v>
      </c>
      <c r="BH29" s="3">
        <f t="shared" si="6"/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 t="shared" ref="AF31:AK31" si="13">SUM(AB2:AB6)</f>
        <v>29423.656768716588</v>
      </c>
      <c r="AG31" s="10">
        <f t="shared" si="13"/>
        <v>162037</v>
      </c>
      <c r="AH31" s="10">
        <f t="shared" si="13"/>
        <v>643575</v>
      </c>
      <c r="AI31" s="10">
        <f t="shared" si="13"/>
        <v>8.5003077455682394</v>
      </c>
      <c r="AJ31" s="10">
        <f t="shared" si="13"/>
        <v>4062</v>
      </c>
      <c r="AK31" s="10">
        <f t="shared" si="13"/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 t="shared" ref="AF32:AK32" si="14">SUM(AB7:AB11)</f>
        <v>1224.3124374545469</v>
      </c>
      <c r="AG32" s="10">
        <f t="shared" si="14"/>
        <v>180339</v>
      </c>
      <c r="AH32" s="10">
        <f t="shared" si="14"/>
        <v>870400</v>
      </c>
      <c r="AI32" s="10">
        <f t="shared" si="14"/>
        <v>9.4819814098216195</v>
      </c>
      <c r="AJ32" s="10">
        <f t="shared" si="14"/>
        <v>352</v>
      </c>
      <c r="AK32" s="10">
        <f t="shared" si="14"/>
        <v>326.16800000000001</v>
      </c>
      <c r="AL32" s="10"/>
      <c r="AR32" s="10">
        <f>SUM(AM7:AM11)</f>
        <v>15.645908719572068</v>
      </c>
      <c r="AS32">
        <f t="shared" ref="AS32:AS34" si="15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 t="shared" ref="AF33:AK33" si="16">AB12+AB13</f>
        <v>3970.1202531016097</v>
      </c>
      <c r="AG33" s="10">
        <f t="shared" si="16"/>
        <v>23359</v>
      </c>
      <c r="AH33" s="10">
        <f t="shared" si="16"/>
        <v>127167</v>
      </c>
      <c r="AI33" s="10">
        <f t="shared" si="16"/>
        <v>3.2176052236405002</v>
      </c>
      <c r="AJ33" s="10">
        <f t="shared" si="16"/>
        <v>74</v>
      </c>
      <c r="AK33" s="10">
        <f t="shared" si="16"/>
        <v>58.742999999999995</v>
      </c>
      <c r="AL33" s="10"/>
      <c r="AR33" s="10">
        <f>AM12+AM13</f>
        <v>36.968504715451004</v>
      </c>
      <c r="AS33">
        <f t="shared" si="15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5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BT42"/>
    </row>
    <row r="43" spans="1:137" x14ac:dyDescent="0.2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AB93"/>
  <sheetViews>
    <sheetView tabSelected="1" workbookViewId="0">
      <selection activeCell="E7" sqref="E7"/>
    </sheetView>
  </sheetViews>
  <sheetFormatPr baseColWidth="10" defaultRowHeight="16" x14ac:dyDescent="0.2"/>
  <cols>
    <col min="1" max="1" width="24.1640625" customWidth="1"/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201</v>
      </c>
      <c r="J1" t="s">
        <v>230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273</v>
      </c>
      <c r="I2" t="s">
        <v>200</v>
      </c>
      <c r="J2" t="s">
        <v>229</v>
      </c>
      <c r="K2" t="s">
        <v>231</v>
      </c>
      <c r="M2" s="22" t="s">
        <v>202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203</v>
      </c>
      <c r="B23" t="s">
        <v>204</v>
      </c>
      <c r="C23" t="str" cm="1">
        <f t="array" ref="C23:C42">'By site'!AB1:AB20</f>
        <v>Total covered production (t(CH4)/hr)</v>
      </c>
      <c r="D23" t="s">
        <v>205</v>
      </c>
      <c r="G23" s="22" t="s">
        <v>208</v>
      </c>
      <c r="H23" t="s">
        <v>209</v>
      </c>
      <c r="I23" t="s">
        <v>210</v>
      </c>
      <c r="J23" t="s">
        <v>211</v>
      </c>
      <c r="K23" t="s">
        <v>212</v>
      </c>
      <c r="N23" s="22" t="s">
        <v>213</v>
      </c>
      <c r="O23" t="s">
        <v>214</v>
      </c>
      <c r="P23" t="s">
        <v>215</v>
      </c>
      <c r="Q23" t="s">
        <v>216</v>
      </c>
      <c r="R23" t="s">
        <v>217</v>
      </c>
      <c r="T23" s="22" t="s">
        <v>218</v>
      </c>
      <c r="U23" t="s">
        <v>219</v>
      </c>
      <c r="V23" t="s">
        <v>220</v>
      </c>
      <c r="W23" t="s">
        <v>221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8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8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8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8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8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8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8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8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8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8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8" x14ac:dyDescent="0.2">
      <c r="A43" t="s">
        <v>206</v>
      </c>
      <c r="G43" t="s">
        <v>206</v>
      </c>
      <c r="N43" t="s">
        <v>206</v>
      </c>
    </row>
    <row r="44" spans="1:28" x14ac:dyDescent="0.2">
      <c r="A44" t="s">
        <v>207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8" x14ac:dyDescent="0.2">
      <c r="A46" s="22" t="s">
        <v>228</v>
      </c>
      <c r="B46" t="s">
        <v>233</v>
      </c>
      <c r="C46" t="s">
        <v>234</v>
      </c>
      <c r="D46" t="s">
        <v>235</v>
      </c>
      <c r="E46" t="s">
        <v>236</v>
      </c>
      <c r="F46" t="s">
        <v>237</v>
      </c>
      <c r="G46" t="s">
        <v>239</v>
      </c>
      <c r="I46" s="22" t="s">
        <v>232</v>
      </c>
      <c r="J46" t="s">
        <v>240</v>
      </c>
      <c r="K46" t="s">
        <v>242</v>
      </c>
      <c r="L46" t="s">
        <v>243</v>
      </c>
      <c r="O46" s="22" t="s">
        <v>241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255</v>
      </c>
      <c r="U46" t="s">
        <v>254</v>
      </c>
      <c r="Y46" t="s">
        <v>262</v>
      </c>
      <c r="Z46" t="s">
        <v>260</v>
      </c>
      <c r="AA46" t="s">
        <v>259</v>
      </c>
      <c r="AB46" t="s">
        <v>261</v>
      </c>
    </row>
    <row r="47" spans="1:28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  <c r="Y47" t="s">
        <v>107</v>
      </c>
      <c r="AA47" t="str">
        <f>ROUND('By site'!CR2, 2) &amp; CHAR(10) &amp; "["  &amp; ROUND('By site'!CS2, 2) &amp; ", " &amp; ROUND('By site'!CT2, 2) &amp; "]"</f>
        <v>153.75
[142.46, 166.27]</v>
      </c>
      <c r="AB47" s="9">
        <f>Z47/'By site'!CR2</f>
        <v>0</v>
      </c>
    </row>
    <row r="48" spans="1:28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  <c r="Y48" t="s">
        <v>90</v>
      </c>
      <c r="Z48">
        <v>246</v>
      </c>
      <c r="AA48" t="str">
        <f>ROUND('By site'!CR3, 2) &amp; CHAR(10) &amp; "["  &amp; ROUND('By site'!CS3, 2) &amp; ", " &amp; ROUND('By site'!CT3, 2) &amp; "]"</f>
        <v>449.28
[429.65, 469.27]</v>
      </c>
      <c r="AB48" s="9">
        <f>Z48/'By site'!CR3</f>
        <v>0.54753731920337889</v>
      </c>
    </row>
    <row r="49" spans="1:28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  <c r="Y49" t="s">
        <v>91</v>
      </c>
      <c r="Z49">
        <v>72.3</v>
      </c>
      <c r="AA49" t="str">
        <f>ROUND('By site'!CR4, 2) &amp; CHAR(10) &amp; "["  &amp; ROUND('By site'!CS4, 2) &amp; ", " &amp; ROUND('By site'!CT4, 2) &amp; "]"</f>
        <v>95.65
[90.15, 100.85]</v>
      </c>
      <c r="AB49" s="9">
        <f>Z49/'By site'!CR4</f>
        <v>0.7559156652771083</v>
      </c>
    </row>
    <row r="50" spans="1:28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  <c r="Y50" t="s">
        <v>93</v>
      </c>
      <c r="Z50">
        <v>67.7</v>
      </c>
      <c r="AA50" t="str">
        <f>ROUND('By site'!CR5, 2) &amp; CHAR(10) &amp; "["  &amp; ROUND('By site'!CS5, 2) &amp; ", " &amp; ROUND('By site'!CT5, 2) &amp; "]"</f>
        <v>82.81
[75.7, 90.31]</v>
      </c>
      <c r="AB50" s="9">
        <f>Z50/'By site'!CR5</f>
        <v>0.81756707882588531</v>
      </c>
    </row>
    <row r="51" spans="1:28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  <c r="Y51" t="s">
        <v>92</v>
      </c>
      <c r="Z51">
        <v>71.400000000000006</v>
      </c>
      <c r="AA51" t="str">
        <f>ROUND('By site'!CR6, 2) &amp; CHAR(10) &amp; "["  &amp; ROUND('By site'!CS6, 2) &amp; ", " &amp; ROUND('By site'!CT6, 2) &amp; "]"</f>
        <v>79.89
[71.82, 87.99]</v>
      </c>
      <c r="AB51" s="9">
        <f>Z51/'By site'!CR6</f>
        <v>0.89376228591504892</v>
      </c>
    </row>
    <row r="52" spans="1:28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  <c r="Y52" t="s">
        <v>94</v>
      </c>
      <c r="AA52" t="str">
        <f>ROUND('By site'!CR7, 2) &amp; CHAR(10) &amp; "["  &amp; ROUND('By site'!CS7, 2) &amp; ", " &amp; ROUND('By site'!CT7, 2) &amp; "]"</f>
        <v>7.17
[6.07, 8.34]</v>
      </c>
      <c r="AB52" s="9">
        <f>Z52/'By site'!CR7</f>
        <v>0</v>
      </c>
    </row>
    <row r="53" spans="1:28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  <c r="Y53" t="s">
        <v>95</v>
      </c>
      <c r="AA53" t="str">
        <f>ROUND('By site'!CR8, 2) &amp; CHAR(10) &amp; "["  &amp; ROUND('By site'!CS8, 2) &amp; ", " &amp; ROUND('By site'!CT8, 2) &amp; "]"</f>
        <v>11.91
[10.29, 13.68]</v>
      </c>
      <c r="AB53" s="9">
        <f>Z53/'By site'!CR8</f>
        <v>0</v>
      </c>
    </row>
    <row r="54" spans="1:28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  <c r="Y54" t="s">
        <v>97</v>
      </c>
      <c r="Z54">
        <v>6.92</v>
      </c>
      <c r="AA54" t="str">
        <f>ROUND('By site'!CR9, 2) &amp; CHAR(10) &amp; "["  &amp; ROUND('By site'!CS9, 2) &amp; ", " &amp; ROUND('By site'!CT9, 2) &amp; "]"</f>
        <v>8.03
[6.21, 10.24]</v>
      </c>
      <c r="AB54" s="9">
        <f>Z54/'By site'!CR9</f>
        <v>0.862139673220508</v>
      </c>
    </row>
    <row r="55" spans="1:28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  <c r="Y55" t="s">
        <v>96</v>
      </c>
      <c r="Z55">
        <v>5.56</v>
      </c>
      <c r="AA55" t="str">
        <f>ROUND('By site'!CR10, 2) &amp; CHAR(10) &amp; "["  &amp; ROUND('By site'!CS10, 2) &amp; ", " &amp; ROUND('By site'!CT10, 2) &amp; "]"</f>
        <v>6.36
[4.67, 8.8]</v>
      </c>
      <c r="AB55" s="9">
        <f>Z55/'By site'!CR10</f>
        <v>0.87360974341486808</v>
      </c>
    </row>
    <row r="56" spans="1:28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  <c r="Y56" t="s">
        <v>98</v>
      </c>
      <c r="Z56">
        <v>2.17</v>
      </c>
      <c r="AA56" t="str">
        <f>ROUND('By site'!CR11, 2) &amp; CHAR(10) &amp; "["  &amp; ROUND('By site'!CS11, 2) &amp; ", " &amp; ROUND('By site'!CT11, 2) &amp; "]"</f>
        <v>2.56
[1.67, 3.62]</v>
      </c>
      <c r="AB56" s="9">
        <f>Z56/'By site'!CR11</f>
        <v>0.84774521587629681</v>
      </c>
    </row>
    <row r="57" spans="1:28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  <c r="Y57" t="s">
        <v>99</v>
      </c>
      <c r="Z57">
        <v>2.54</v>
      </c>
      <c r="AA57" t="str">
        <f>ROUND('By site'!CR12, 2) &amp; CHAR(10) &amp; "["  &amp; ROUND('By site'!CS12, 2) &amp; ", " &amp; ROUND('By site'!CT12, 2) &amp; "]"</f>
        <v>3.06
[1.6, 4.86]</v>
      </c>
      <c r="AB57" s="9">
        <f>Z57/'By site'!CR12</f>
        <v>0.82921662075911717</v>
      </c>
    </row>
    <row r="58" spans="1:28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  <c r="Y58" t="s">
        <v>100</v>
      </c>
      <c r="Z58">
        <v>4.25</v>
      </c>
      <c r="AA58" t="str">
        <f>ROUND('By site'!CR13, 2) &amp; CHAR(10) &amp; "["  &amp; ROUND('By site'!CS13, 2) &amp; ", " &amp; ROUND('By site'!CT13, 2) &amp; "]"</f>
        <v>4.7
[2.94, 6.81]</v>
      </c>
      <c r="AB58" s="9">
        <f>Z58/'By site'!CR13</f>
        <v>0.90408939858155624</v>
      </c>
    </row>
    <row r="59" spans="1:28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  <c r="Y59" t="s">
        <v>101</v>
      </c>
      <c r="AA59" t="str">
        <f>ROUND('By site'!CR14, 2) &amp; CHAR(10) &amp; "["  &amp; ROUND('By site'!CS14, 2) &amp; ", " &amp; ROUND('By site'!CT14, 2) &amp; "]"</f>
        <v>46.3
[38.65, 54.5]</v>
      </c>
      <c r="AB59" s="9">
        <f>Z66/'By site'!CR14</f>
        <v>0.4513574846790927</v>
      </c>
    </row>
    <row r="60" spans="1:28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  <c r="Y60" t="s">
        <v>89</v>
      </c>
      <c r="Z60">
        <v>6.13</v>
      </c>
      <c r="AA60" t="str">
        <f>ROUND('By site'!CR15, 2) &amp; CHAR(10) &amp; "["  &amp; ROUND('By site'!CS15, 2) &amp; ", " &amp; ROUND('By site'!CT15, 2) &amp; "]"</f>
        <v>8.38
[6.26, 10.58]</v>
      </c>
      <c r="AB60" s="9">
        <f>Z60/'By site'!CR15</f>
        <v>0.73189292480483692</v>
      </c>
    </row>
    <row r="61" spans="1:28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  <c r="Y61" t="s">
        <v>102</v>
      </c>
      <c r="AA61" t="str">
        <f>ROUND('By site'!CR16, 2) &amp; CHAR(10) &amp; "["  &amp; ROUND('By site'!CS16, 2) &amp; ", " &amp; ROUND('By site'!CT16, 2) &amp; "]"</f>
        <v>17.72
[14.94, 20.94]</v>
      </c>
      <c r="AB61" s="9">
        <f>Z61/'By site'!CR16</f>
        <v>0</v>
      </c>
    </row>
    <row r="62" spans="1:28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  <c r="Y62" t="s">
        <v>103</v>
      </c>
      <c r="AA62" t="str">
        <f>ROUND('By site'!CR17, 2) &amp; CHAR(10) &amp; "["  &amp; ROUND('By site'!CS17, 2) &amp; ", " &amp; ROUND('By site'!CT17, 2) &amp; "]"</f>
        <v>179.93
[165.26, 196.88]</v>
      </c>
      <c r="AB62" s="9">
        <f>Z62/'By site'!CR17</f>
        <v>0</v>
      </c>
    </row>
    <row r="63" spans="1:28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  <c r="Y63" t="s">
        <v>104</v>
      </c>
      <c r="AA63" t="str">
        <f>ROUND('By site'!CR18, 2) &amp; CHAR(10) &amp; "["  &amp; ROUND('By site'!CS18, 2) &amp; ", " &amp; ROUND('By site'!CT18, 2) &amp; "]"</f>
        <v>95.14
[83.08, 108.51]</v>
      </c>
      <c r="AB63" s="9">
        <f>Z63/'By site'!CR18</f>
        <v>0</v>
      </c>
    </row>
    <row r="64" spans="1:28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  <c r="Y64" t="s">
        <v>105</v>
      </c>
      <c r="AA64" t="str">
        <f>ROUND('By site'!CR19, 2) &amp; CHAR(10) &amp; "["  &amp; ROUND('By site'!CS19, 2) &amp; ", " &amp; ROUND('By site'!CT19, 2) &amp; "]"</f>
        <v>84.69
[76.43, 93.7]</v>
      </c>
      <c r="AB64" s="9">
        <f>Z64/'By site'!CR19</f>
        <v>0</v>
      </c>
    </row>
    <row r="65" spans="1:28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  <c r="Y65" t="s">
        <v>134</v>
      </c>
      <c r="AA65" t="str">
        <f>ROUND('By site'!CR20, 2) &amp; CHAR(10) &amp; "["  &amp; ROUND('By site'!CS20, 2) &amp; ", " &amp; ROUND('By site'!CT20, 2) &amp; "]"</f>
        <v>28.13
[23.7, 32.18]</v>
      </c>
      <c r="AB65" s="9">
        <f>Z65/'By site'!CR20</f>
        <v>0</v>
      </c>
    </row>
    <row r="66" spans="1:28" x14ac:dyDescent="0.2">
      <c r="I66" t="s">
        <v>207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  <c r="Y66" t="s">
        <v>263</v>
      </c>
      <c r="Z66">
        <v>20.9</v>
      </c>
      <c r="AA66" s="6" t="str">
        <f>ROUND(Z69, 2) &amp; CHAR(10) &amp; "["  &amp; ROUND(Z69*AA69, 2) &amp; ", " &amp; ROUND(Z69*AB69, 2) &amp; "]"</f>
        <v>18.17
[15.17, 21.39]</v>
      </c>
      <c r="AB66" s="9">
        <f>Z66/('By site'!CR14 - 'By site'!CR20)</f>
        <v>1.1501667953182186</v>
      </c>
    </row>
    <row r="67" spans="1:28" x14ac:dyDescent="0.2">
      <c r="B67" t="s">
        <v>269</v>
      </c>
    </row>
    <row r="68" spans="1:28" x14ac:dyDescent="0.2">
      <c r="A68" t="s">
        <v>107</v>
      </c>
      <c r="B68">
        <f>'By site'!DO2*'By site'!AB2</f>
        <v>24.357965236152825</v>
      </c>
      <c r="Z68" t="s">
        <v>267</v>
      </c>
      <c r="AA68" t="s">
        <v>264</v>
      </c>
      <c r="AB68" t="s">
        <v>265</v>
      </c>
    </row>
    <row r="69" spans="1:28" x14ac:dyDescent="0.2">
      <c r="A69" t="s">
        <v>90</v>
      </c>
      <c r="B69">
        <f>'By site'!DO3*'By site'!AB3</f>
        <v>120.97259424653235</v>
      </c>
      <c r="Y69" t="s">
        <v>266</v>
      </c>
      <c r="Z69">
        <f>'By site'!CR14 - 'By site'!CR20</f>
        <v>18.1712774921637</v>
      </c>
      <c r="AA69">
        <f>'By site'!CS14/'By site'!CR14</f>
        <v>0.83465800617366104</v>
      </c>
      <c r="AB69">
        <f>'By site'!CT14/'By site'!CR14</f>
        <v>1.1770669051566525</v>
      </c>
    </row>
    <row r="70" spans="1:28" x14ac:dyDescent="0.2">
      <c r="A70" t="s">
        <v>91</v>
      </c>
      <c r="B70">
        <f>'By site'!DO4*'By site'!AB4</f>
        <v>50.816506638195825</v>
      </c>
    </row>
    <row r="71" spans="1:28" x14ac:dyDescent="0.2">
      <c r="A71" t="s">
        <v>93</v>
      </c>
      <c r="B71">
        <f>'By site'!DO5*'By site'!AB5</f>
        <v>63.438241032096158</v>
      </c>
    </row>
    <row r="72" spans="1:28" x14ac:dyDescent="0.2">
      <c r="A72" t="s">
        <v>92</v>
      </c>
      <c r="B72">
        <f>'By site'!DO6*'By site'!AB6</f>
        <v>66.395754134398558</v>
      </c>
    </row>
    <row r="73" spans="1:28" x14ac:dyDescent="0.2">
      <c r="A73" t="s">
        <v>94</v>
      </c>
      <c r="B73">
        <f>'By site'!DO7*'By site'!AB7</f>
        <v>15.196735288855514</v>
      </c>
    </row>
    <row r="74" spans="1:28" x14ac:dyDescent="0.2">
      <c r="A74" t="s">
        <v>95</v>
      </c>
      <c r="B74">
        <f>'By site'!DO8*'By site'!AB8</f>
        <v>15.50160821102906</v>
      </c>
    </row>
    <row r="75" spans="1:28" x14ac:dyDescent="0.2">
      <c r="A75" t="s">
        <v>97</v>
      </c>
      <c r="B75">
        <f>'By site'!DO9*'By site'!AB9</f>
        <v>14.261429630091026</v>
      </c>
    </row>
    <row r="76" spans="1:28" x14ac:dyDescent="0.2">
      <c r="A76" t="s">
        <v>96</v>
      </c>
      <c r="B76">
        <f>'By site'!DO10*'By site'!AB10</f>
        <v>15.112625086571196</v>
      </c>
    </row>
    <row r="77" spans="1:28" x14ac:dyDescent="0.2">
      <c r="A77" t="s">
        <v>98</v>
      </c>
      <c r="B77">
        <f>'By site'!DO11*'By site'!AB11</f>
        <v>12.20299091396601</v>
      </c>
    </row>
    <row r="78" spans="1:28" x14ac:dyDescent="0.2">
      <c r="A78" t="s">
        <v>99</v>
      </c>
      <c r="B78">
        <f>'By site'!DO12*'By site'!AB12</f>
        <v>19.391289447219531</v>
      </c>
    </row>
    <row r="79" spans="1:28" x14ac:dyDescent="0.2">
      <c r="A79" t="s">
        <v>100</v>
      </c>
      <c r="B79">
        <f>'By site'!DO13*'By site'!AB13</f>
        <v>19.151798216419305</v>
      </c>
    </row>
    <row r="80" spans="1:28" x14ac:dyDescent="0.2">
      <c r="A80" t="s">
        <v>101</v>
      </c>
      <c r="B80">
        <f>'By site'!DO14*'By site'!AB14</f>
        <v>56.321647797862589</v>
      </c>
    </row>
    <row r="81" spans="1:2" x14ac:dyDescent="0.2">
      <c r="A81" t="s">
        <v>89</v>
      </c>
      <c r="B81">
        <f>'By site'!DO15*'By site'!AB15</f>
        <v>8.4196860466966505</v>
      </c>
    </row>
    <row r="82" spans="1:2" x14ac:dyDescent="0.2">
      <c r="A82" t="s">
        <v>102</v>
      </c>
      <c r="B82">
        <f>'By site'!DO16*'By site'!AB16</f>
        <v>6.7875865536511135</v>
      </c>
    </row>
    <row r="83" spans="1:2" x14ac:dyDescent="0.2">
      <c r="A83" t="s">
        <v>103</v>
      </c>
      <c r="B83">
        <f>'By site'!DO17*'By site'!AB17</f>
        <v>54.652973052983512</v>
      </c>
    </row>
    <row r="84" spans="1:2" x14ac:dyDescent="0.2">
      <c r="A84" t="s">
        <v>104</v>
      </c>
      <c r="B84">
        <f>'By site'!DO18*'By site'!AB18</f>
        <v>41.522548395860255</v>
      </c>
    </row>
    <row r="85" spans="1:2" x14ac:dyDescent="0.2">
      <c r="A85" t="s">
        <v>105</v>
      </c>
      <c r="B85">
        <f>'By site'!DO19*'By site'!AB19</f>
        <v>13.130424665419572</v>
      </c>
    </row>
    <row r="86" spans="1:2" x14ac:dyDescent="0.2">
      <c r="A86" t="s">
        <v>134</v>
      </c>
      <c r="B86">
        <f>'By site'!DO20*'By site'!AB20</f>
        <v>28.019992150124839</v>
      </c>
    </row>
    <row r="87" spans="1:2" x14ac:dyDescent="0.2">
      <c r="A87" t="s">
        <v>268</v>
      </c>
      <c r="B87">
        <f>B69+B73+B79+B80+B81+B82</f>
        <v>226.85004815001756</v>
      </c>
    </row>
    <row r="88" spans="1:2" x14ac:dyDescent="0.2">
      <c r="A88" t="s">
        <v>270</v>
      </c>
      <c r="B88" s="24">
        <f>B87/'By site'!AB27</f>
        <v>9.4542909072497378E-3</v>
      </c>
    </row>
    <row r="89" spans="1:2" x14ac:dyDescent="0.2">
      <c r="A89" t="s">
        <v>271</v>
      </c>
      <c r="B89">
        <f>'By site'!U27/B87</f>
        <v>3.1417226499708142</v>
      </c>
    </row>
    <row r="90" spans="1:2" x14ac:dyDescent="0.2">
      <c r="A90" t="s">
        <v>272</v>
      </c>
      <c r="B90">
        <f>'By site'!BF27/0.0225</f>
        <v>1.3201226614542052</v>
      </c>
    </row>
    <row r="93" spans="1:2" x14ac:dyDescent="0.2">
      <c r="B9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2023-05-07T15:16:23Z</dcterms:modified>
</cp:coreProperties>
</file>