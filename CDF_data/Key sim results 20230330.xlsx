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ansherwin/PycharmProjects/MethaneDistributions/CDF_data/"/>
    </mc:Choice>
  </mc:AlternateContent>
  <xr:revisionPtr revIDLastSave="0" documentId="13_ncr:1_{4446E74A-2F6D-C14A-BAD5-B9B8CB5B3A75}" xr6:coauthVersionLast="47" xr6:coauthVersionMax="47" xr10:uidLastSave="{00000000-0000-0000-0000-000000000000}"/>
  <bookViews>
    <workbookView xWindow="7620" yWindow="460" windowWidth="29460" windowHeight="17080" xr2:uid="{DA729304-F74A-A044-AD1E-035DDE35C875}"/>
  </bookViews>
  <sheets>
    <sheet name="By site" sheetId="1" r:id="rId1"/>
    <sheet name="Tables for paper" sheetId="8" r:id="rId2"/>
    <sheet name="By site visit" sheetId="2" r:id="rId3"/>
    <sheet name="By site no strat" sheetId="4" r:id="rId4"/>
    <sheet name="Comparison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G43" i="1" l="1"/>
  <c r="EF43" i="1"/>
  <c r="EE43" i="1"/>
  <c r="ED43" i="1"/>
  <c r="EC43" i="1"/>
  <c r="EB43" i="1"/>
  <c r="EA43" i="1"/>
  <c r="DZ43" i="1"/>
  <c r="DY43" i="1"/>
  <c r="DX43" i="1"/>
  <c r="DW43" i="1"/>
  <c r="DV43" i="1"/>
  <c r="DU43" i="1"/>
  <c r="DT43" i="1"/>
  <c r="DS43" i="1"/>
  <c r="DR43" i="1"/>
  <c r="DQ43" i="1"/>
  <c r="DP43" i="1"/>
  <c r="DO43" i="1"/>
  <c r="DN43" i="1"/>
  <c r="DM43" i="1"/>
  <c r="DL43" i="1"/>
  <c r="DK43" i="1"/>
  <c r="DJ43" i="1"/>
  <c r="DI43" i="1"/>
  <c r="DH43" i="1"/>
  <c r="DG43" i="1"/>
  <c r="DF43" i="1"/>
  <c r="DE43" i="1"/>
  <c r="DD43" i="1"/>
  <c r="DC43" i="1"/>
  <c r="DB43" i="1"/>
  <c r="DA43" i="1"/>
  <c r="CZ43" i="1"/>
  <c r="CY43" i="1"/>
  <c r="CX43" i="1"/>
  <c r="CW43" i="1"/>
  <c r="CV43" i="1"/>
  <c r="CU43" i="1"/>
  <c r="CT43" i="1"/>
  <c r="CS43" i="1"/>
  <c r="CR43" i="1"/>
  <c r="CQ43" i="1"/>
  <c r="CP43" i="1"/>
  <c r="CO43" i="1"/>
  <c r="CN43" i="1"/>
  <c r="CM43" i="1"/>
  <c r="CL43" i="1"/>
  <c r="CK43" i="1"/>
  <c r="CJ43" i="1"/>
  <c r="CI43" i="1"/>
  <c r="CH43" i="1"/>
  <c r="CG43" i="1"/>
  <c r="CF43" i="1"/>
  <c r="CE43" i="1"/>
  <c r="CD43" i="1"/>
  <c r="CC43" i="1"/>
  <c r="CB43" i="1"/>
  <c r="CA43" i="1"/>
  <c r="BZ43" i="1"/>
  <c r="BY43" i="1"/>
  <c r="BX43" i="1"/>
  <c r="BW43" i="1"/>
  <c r="BV43" i="1"/>
  <c r="BU43" i="1"/>
  <c r="BT43" i="1"/>
  <c r="BS43" i="1"/>
  <c r="BR43" i="1"/>
  <c r="BQ43" i="1"/>
  <c r="BP43" i="1"/>
  <c r="BO43" i="1"/>
  <c r="BN43" i="1"/>
  <c r="BM43" i="1"/>
  <c r="BL43" i="1"/>
  <c r="BK43" i="1"/>
  <c r="BJ43" i="1"/>
  <c r="BI43" i="1"/>
  <c r="BH43" i="1"/>
  <c r="BG43" i="1"/>
  <c r="BF43" i="1"/>
  <c r="BE43" i="1"/>
  <c r="BD43" i="1"/>
  <c r="BC43" i="1"/>
  <c r="BB43" i="1"/>
  <c r="BA43" i="1"/>
  <c r="AZ43" i="1"/>
  <c r="AY43" i="1"/>
  <c r="AX43" i="1"/>
  <c r="AW43" i="1"/>
  <c r="AV43" i="1"/>
  <c r="AU43" i="1"/>
  <c r="AT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U35" i="1"/>
  <c r="V35" i="1"/>
  <c r="W35" i="1"/>
  <c r="T65" i="8"/>
  <c r="T64" i="8"/>
  <c r="T63" i="8"/>
  <c r="T62" i="8"/>
  <c r="T61" i="8"/>
  <c r="T60" i="8"/>
  <c r="T59" i="8"/>
  <c r="T58" i="8"/>
  <c r="T57" i="8"/>
  <c r="T56" i="8"/>
  <c r="T55" i="8"/>
  <c r="T54" i="8"/>
  <c r="T53" i="8"/>
  <c r="T52" i="8"/>
  <c r="T51" i="8"/>
  <c r="T50" i="8"/>
  <c r="T49" i="8"/>
  <c r="T48" i="8"/>
  <c r="T47" i="8"/>
  <c r="U65" i="8"/>
  <c r="U64" i="8"/>
  <c r="U63" i="8"/>
  <c r="U62" i="8"/>
  <c r="U61" i="8"/>
  <c r="U60" i="8"/>
  <c r="U59" i="8"/>
  <c r="U58" i="8"/>
  <c r="U57" i="8"/>
  <c r="U56" i="8"/>
  <c r="U55" i="8"/>
  <c r="U54" i="8"/>
  <c r="U53" i="8"/>
  <c r="U52" i="8"/>
  <c r="U51" i="8"/>
  <c r="U50" i="8"/>
  <c r="U49" i="8"/>
  <c r="U48" i="8"/>
  <c r="U47" i="8"/>
  <c r="T27" i="1"/>
  <c r="S27" i="1"/>
  <c r="R27" i="1"/>
  <c r="Q27" i="1"/>
  <c r="P27" i="1"/>
  <c r="P28" i="1" s="1"/>
  <c r="O27" i="1"/>
  <c r="N27" i="1"/>
  <c r="M27" i="1"/>
  <c r="L27" i="1"/>
  <c r="K27" i="1"/>
  <c r="EG27" i="1"/>
  <c r="EF27" i="1"/>
  <c r="EE27" i="1"/>
  <c r="EE28" i="1" s="1"/>
  <c r="L66" i="8" s="1"/>
  <c r="ED27" i="1"/>
  <c r="EC27" i="1"/>
  <c r="EB27" i="1"/>
  <c r="EB28" i="1" s="1"/>
  <c r="K66" i="8" s="1"/>
  <c r="L65" i="8"/>
  <c r="L64" i="8"/>
  <c r="L63" i="8"/>
  <c r="L62" i="8"/>
  <c r="L61" i="8"/>
  <c r="L60" i="8"/>
  <c r="L59" i="8"/>
  <c r="L58" i="8"/>
  <c r="L57" i="8"/>
  <c r="L56" i="8"/>
  <c r="L55" i="8"/>
  <c r="L54" i="8"/>
  <c r="L53" i="8"/>
  <c r="L52" i="8"/>
  <c r="L51" i="8"/>
  <c r="L50" i="8"/>
  <c r="L49" i="8"/>
  <c r="L48" i="8"/>
  <c r="L47" i="8"/>
  <c r="K65" i="8"/>
  <c r="K64" i="8"/>
  <c r="K63" i="8"/>
  <c r="K62" i="8"/>
  <c r="K6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J49" i="8"/>
  <c r="J48" i="8"/>
  <c r="J47" i="8"/>
  <c r="B65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K7" i="8"/>
  <c r="AY21" i="1"/>
  <c r="AB29" i="1"/>
  <c r="W29" i="1"/>
  <c r="V29" i="1"/>
  <c r="U29" i="1"/>
  <c r="Q46" i="8" a="1"/>
  <c r="Q46" i="8" s="1"/>
  <c r="P46" i="8" a="1"/>
  <c r="P46" i="8" s="1"/>
  <c r="V24" i="8" a="1"/>
  <c r="V24" i="8" s="1"/>
  <c r="U24" i="8" a="1"/>
  <c r="U24" i="8" s="1"/>
  <c r="R42" i="8"/>
  <c r="Q42" i="8"/>
  <c r="P42" i="8"/>
  <c r="O42" i="8"/>
  <c r="R41" i="8"/>
  <c r="Q41" i="8"/>
  <c r="P41" i="8"/>
  <c r="O41" i="8"/>
  <c r="R40" i="8"/>
  <c r="Q40" i="8"/>
  <c r="P40" i="8"/>
  <c r="O40" i="8"/>
  <c r="R39" i="8"/>
  <c r="Q39" i="8"/>
  <c r="P39" i="8"/>
  <c r="O39" i="8"/>
  <c r="R38" i="8"/>
  <c r="Q38" i="8"/>
  <c r="P38" i="8"/>
  <c r="O38" i="8"/>
  <c r="R37" i="8"/>
  <c r="Q37" i="8"/>
  <c r="P37" i="8"/>
  <c r="O37" i="8"/>
  <c r="R36" i="8"/>
  <c r="Q36" i="8"/>
  <c r="P36" i="8"/>
  <c r="O36" i="8"/>
  <c r="R35" i="8"/>
  <c r="Q35" i="8"/>
  <c r="P35" i="8"/>
  <c r="O35" i="8"/>
  <c r="R34" i="8"/>
  <c r="Q34" i="8"/>
  <c r="P34" i="8"/>
  <c r="O34" i="8"/>
  <c r="R33" i="8"/>
  <c r="Q33" i="8"/>
  <c r="P33" i="8"/>
  <c r="O33" i="8"/>
  <c r="R32" i="8"/>
  <c r="Q32" i="8"/>
  <c r="P32" i="8"/>
  <c r="O32" i="8"/>
  <c r="R31" i="8"/>
  <c r="Q31" i="8"/>
  <c r="P31" i="8"/>
  <c r="O31" i="8"/>
  <c r="R30" i="8"/>
  <c r="Q30" i="8"/>
  <c r="P30" i="8"/>
  <c r="O30" i="8"/>
  <c r="R29" i="8"/>
  <c r="Q29" i="8"/>
  <c r="P29" i="8"/>
  <c r="O29" i="8"/>
  <c r="R28" i="8"/>
  <c r="Q28" i="8"/>
  <c r="P28" i="8"/>
  <c r="O28" i="8"/>
  <c r="R27" i="8"/>
  <c r="Q27" i="8"/>
  <c r="P27" i="8"/>
  <c r="O27" i="8"/>
  <c r="R26" i="8"/>
  <c r="Q26" i="8"/>
  <c r="P26" i="8"/>
  <c r="O26" i="8"/>
  <c r="R25" i="8"/>
  <c r="Q25" i="8"/>
  <c r="P25" i="8"/>
  <c r="O25" i="8"/>
  <c r="R24" i="8"/>
  <c r="O24" i="8"/>
  <c r="Q24" i="8"/>
  <c r="P24" i="8"/>
  <c r="K42" i="8"/>
  <c r="J42" i="8"/>
  <c r="I42" i="8"/>
  <c r="H42" i="8"/>
  <c r="K41" i="8"/>
  <c r="J41" i="8"/>
  <c r="I41" i="8"/>
  <c r="H41" i="8"/>
  <c r="K40" i="8"/>
  <c r="J40" i="8"/>
  <c r="I40" i="8"/>
  <c r="H40" i="8"/>
  <c r="K39" i="8"/>
  <c r="J39" i="8"/>
  <c r="I39" i="8"/>
  <c r="H39" i="8"/>
  <c r="K38" i="8"/>
  <c r="J38" i="8"/>
  <c r="I38" i="8"/>
  <c r="H38" i="8"/>
  <c r="K37" i="8"/>
  <c r="J37" i="8"/>
  <c r="I37" i="8"/>
  <c r="H37" i="8"/>
  <c r="K36" i="8"/>
  <c r="J36" i="8"/>
  <c r="I36" i="8"/>
  <c r="H36" i="8"/>
  <c r="K35" i="8"/>
  <c r="J35" i="8"/>
  <c r="I35" i="8"/>
  <c r="H35" i="8"/>
  <c r="K34" i="8"/>
  <c r="J34" i="8"/>
  <c r="I34" i="8"/>
  <c r="H34" i="8"/>
  <c r="K33" i="8"/>
  <c r="J33" i="8"/>
  <c r="I33" i="8"/>
  <c r="H33" i="8"/>
  <c r="K32" i="8"/>
  <c r="J32" i="8"/>
  <c r="I32" i="8"/>
  <c r="H32" i="8"/>
  <c r="K31" i="8"/>
  <c r="J31" i="8"/>
  <c r="I31" i="8"/>
  <c r="H31" i="8"/>
  <c r="K30" i="8"/>
  <c r="J30" i="8"/>
  <c r="I30" i="8"/>
  <c r="H30" i="8"/>
  <c r="K29" i="8"/>
  <c r="J29" i="8"/>
  <c r="I29" i="8"/>
  <c r="H29" i="8"/>
  <c r="K28" i="8"/>
  <c r="J28" i="8"/>
  <c r="I28" i="8"/>
  <c r="H28" i="8"/>
  <c r="K27" i="8"/>
  <c r="J27" i="8"/>
  <c r="I27" i="8"/>
  <c r="H27" i="8"/>
  <c r="K26" i="8"/>
  <c r="J26" i="8"/>
  <c r="I26" i="8"/>
  <c r="H26" i="8"/>
  <c r="K25" i="8"/>
  <c r="J25" i="8"/>
  <c r="I25" i="8"/>
  <c r="H25" i="8"/>
  <c r="K24" i="8"/>
  <c r="J24" i="8"/>
  <c r="I24" i="8"/>
  <c r="H24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C23" i="8" a="1"/>
  <c r="C23" i="8" s="1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N2" i="8" a="1"/>
  <c r="N2" i="8" s="1"/>
  <c r="O2" i="8" a="1"/>
  <c r="O2" i="8" s="1"/>
  <c r="I3" i="8"/>
  <c r="K3" i="8" s="1"/>
  <c r="I4" i="8"/>
  <c r="K4" i="8" s="1"/>
  <c r="I5" i="8"/>
  <c r="K5" i="8" s="1"/>
  <c r="I6" i="8"/>
  <c r="K6" i="8" s="1"/>
  <c r="I7" i="8"/>
  <c r="I8" i="8"/>
  <c r="K8" i="8" s="1"/>
  <c r="I9" i="8"/>
  <c r="K9" i="8" s="1"/>
  <c r="I10" i="8"/>
  <c r="K10" i="8" s="1"/>
  <c r="I11" i="8"/>
  <c r="K11" i="8" s="1"/>
  <c r="I12" i="8"/>
  <c r="K12" i="8" s="1"/>
  <c r="I13" i="8"/>
  <c r="K13" i="8" s="1"/>
  <c r="I14" i="8"/>
  <c r="K14" i="8" s="1"/>
  <c r="I15" i="8"/>
  <c r="K15" i="8" s="1"/>
  <c r="I16" i="8"/>
  <c r="K16" i="8" s="1"/>
  <c r="S2" i="8" a="1"/>
  <c r="S2" i="8" s="1"/>
  <c r="R2" i="8" a="1"/>
  <c r="R2" i="8" s="1"/>
  <c r="Q2" i="8" a="1"/>
  <c r="Q2" i="8" s="1"/>
  <c r="P2" i="8" a="1"/>
  <c r="P2" i="8" s="1"/>
  <c r="I21" i="8"/>
  <c r="I20" i="8"/>
  <c r="I19" i="8"/>
  <c r="I18" i="8"/>
  <c r="I17" i="8"/>
  <c r="K17" i="8" s="1"/>
  <c r="E2" i="8" a="1"/>
  <c r="E2" i="8" s="1"/>
  <c r="D2" i="8" a="1"/>
  <c r="D2" i="8" s="1"/>
  <c r="C2" i="8" a="1"/>
  <c r="C2" i="8" s="1"/>
  <c r="B2" i="8" a="1"/>
  <c r="B2" i="8" s="1"/>
  <c r="CI27" i="1"/>
  <c r="BS28" i="1"/>
  <c r="AR28" i="1"/>
  <c r="AI28" i="1"/>
  <c r="AD28" i="1"/>
  <c r="AC28" i="1"/>
  <c r="AB28" i="1"/>
  <c r="W28" i="1"/>
  <c r="V28" i="1"/>
  <c r="U28" i="1"/>
  <c r="BW27" i="1"/>
  <c r="BS27" i="1"/>
  <c r="AR27" i="1"/>
  <c r="AI27" i="1"/>
  <c r="AD27" i="1"/>
  <c r="AC27" i="1"/>
  <c r="AB27" i="1"/>
  <c r="W27" i="1"/>
  <c r="V27" i="1"/>
  <c r="U27" i="1"/>
  <c r="U33" i="1" s="1"/>
  <c r="B44" i="8" l="1"/>
  <c r="CI28" i="1"/>
  <c r="J66" i="8" s="1"/>
  <c r="W24" i="8"/>
  <c r="W26" i="8"/>
  <c r="W27" i="8"/>
  <c r="W28" i="8"/>
  <c r="W29" i="8"/>
  <c r="W30" i="8"/>
  <c r="W35" i="8"/>
  <c r="W36" i="8"/>
  <c r="W37" i="8"/>
  <c r="W38" i="8"/>
  <c r="W31" i="8"/>
  <c r="W39" i="8"/>
  <c r="W32" i="8"/>
  <c r="W40" i="8"/>
  <c r="W25" i="8"/>
  <c r="W33" i="8"/>
  <c r="W41" i="8"/>
  <c r="W34" i="8"/>
  <c r="W42" i="8"/>
  <c r="CQ30" i="1" l="1"/>
  <c r="U40" i="1"/>
  <c r="AA37" i="1"/>
  <c r="BK21" i="1"/>
  <c r="W33" i="1"/>
  <c r="V33" i="1"/>
  <c r="BS33" i="1"/>
  <c r="BS32" i="1"/>
  <c r="BS31" i="1"/>
  <c r="AC33" i="1"/>
  <c r="AC32" i="1"/>
  <c r="AC31" i="1"/>
  <c r="AD33" i="1"/>
  <c r="AD32" i="1"/>
  <c r="AD31" i="1"/>
  <c r="AR33" i="1"/>
  <c r="AR32" i="1"/>
  <c r="AR31" i="1"/>
  <c r="AK33" i="1"/>
  <c r="AJ33" i="1"/>
  <c r="AI33" i="1"/>
  <c r="AH33" i="1"/>
  <c r="AG33" i="1"/>
  <c r="AF33" i="1"/>
  <c r="AK32" i="1"/>
  <c r="AJ32" i="1"/>
  <c r="AI32" i="1"/>
  <c r="AH32" i="1"/>
  <c r="AG32" i="1"/>
  <c r="AK31" i="1"/>
  <c r="AJ31" i="1"/>
  <c r="AI31" i="1"/>
  <c r="AH31" i="1"/>
  <c r="AG31" i="1"/>
  <c r="AF31" i="1"/>
  <c r="AF32" i="1"/>
  <c r="AA36" i="1"/>
  <c r="AC23" i="2"/>
  <c r="AC22" i="2"/>
  <c r="X22" i="2"/>
  <c r="W22" i="2"/>
  <c r="V22" i="2"/>
  <c r="V24" i="2" s="1"/>
  <c r="BX21" i="1" l="1"/>
  <c r="BW21" i="1"/>
  <c r="BN21" i="1"/>
  <c r="BJ21" i="1"/>
  <c r="BA21" i="1" s="1"/>
  <c r="BI21" i="1"/>
  <c r="AZ21" i="1" s="1"/>
  <c r="BO21" i="1"/>
  <c r="AS33" i="1"/>
  <c r="U38" i="1"/>
  <c r="U39" i="1" s="1"/>
  <c r="U34" i="1"/>
  <c r="W34" i="1"/>
  <c r="W38" i="1"/>
  <c r="W39" i="1" s="1"/>
  <c r="V34" i="1"/>
  <c r="V38" i="1"/>
  <c r="V39" i="1" s="1"/>
  <c r="BF27" i="1"/>
  <c r="BG27" i="1"/>
  <c r="BH27" i="1"/>
  <c r="AD34" i="1"/>
  <c r="BF29" i="1"/>
  <c r="BG29" i="1"/>
  <c r="BS34" i="1"/>
  <c r="AS31" i="1"/>
  <c r="AS28" i="1"/>
  <c r="AS32" i="1"/>
  <c r="AC34" i="1"/>
  <c r="BH29" i="1"/>
  <c r="AR34" i="1"/>
  <c r="BH28" i="1"/>
  <c r="BF28" i="1"/>
  <c r="BG28" i="1"/>
  <c r="AS27" i="1"/>
  <c r="BV27" i="1"/>
  <c r="AB26" i="1"/>
  <c r="D44" i="8" l="1"/>
  <c r="AS34" i="1"/>
  <c r="BV28" i="1" l="1"/>
  <c r="B10" i="3"/>
  <c r="G7" i="3" l="1"/>
  <c r="G8" i="3"/>
  <c r="B15" i="3"/>
  <c r="B14" i="3"/>
  <c r="B13" i="3"/>
  <c r="B12" i="3"/>
  <c r="B11" i="3"/>
  <c r="B9" i="3"/>
  <c r="B8" i="3"/>
  <c r="B7" i="3"/>
  <c r="B6" i="3"/>
  <c r="B5" i="3"/>
  <c r="B4" i="3"/>
  <c r="B3" i="3"/>
  <c r="B2" i="3"/>
  <c r="G4" i="3" l="1"/>
  <c r="G14" i="3"/>
  <c r="G12" i="3"/>
  <c r="G13" i="3"/>
  <c r="G11" i="3"/>
  <c r="G9" i="3"/>
  <c r="G15" i="3"/>
  <c r="G10" i="3"/>
  <c r="G5" i="3"/>
  <c r="G6" i="3"/>
  <c r="C15" i="3"/>
  <c r="D15" i="3" s="1"/>
  <c r="C12" i="3"/>
  <c r="D12" i="3" s="1"/>
  <c r="C10" i="3"/>
  <c r="D10" i="3" s="1"/>
  <c r="C11" i="3"/>
  <c r="D11" i="3" s="1"/>
  <c r="C9" i="3"/>
  <c r="D9" i="3" s="1"/>
  <c r="C4" i="3"/>
  <c r="D4" i="3" s="1"/>
  <c r="C7" i="3"/>
  <c r="D7" i="3" s="1"/>
  <c r="C14" i="3"/>
  <c r="D14" i="3" s="1"/>
  <c r="C13" i="3"/>
  <c r="D13" i="3" s="1"/>
  <c r="C8" i="3"/>
  <c r="D8" i="3" s="1"/>
  <c r="C5" i="3"/>
  <c r="D5" i="3" s="1"/>
  <c r="C6" i="3"/>
  <c r="D6" i="3" s="1"/>
  <c r="C2" i="3" l="1"/>
  <c r="D2" i="3" s="1"/>
  <c r="G2" i="3"/>
  <c r="G3" i="3"/>
  <c r="C3" i="3"/>
  <c r="D3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<sst xmlns="http://schemas.openxmlformats.org/spreadsheetml/2006/main" count="813" uniqueCount="258">
  <si>
    <t>Basin/Campaign</t>
  </si>
  <si>
    <t>Kairos Permian</t>
  </si>
  <si>
    <t>Permian/2019</t>
  </si>
  <si>
    <t>Permian/Summer 2021</t>
  </si>
  <si>
    <t>Permian/Fall 2021</t>
  </si>
  <si>
    <t>San Joaquin/2020</t>
  </si>
  <si>
    <t>San Joaquin/COVID 2020</t>
  </si>
  <si>
    <t>San Joaquin/Fall 2021</t>
  </si>
  <si>
    <t>San Joaquin/2016-2017</t>
  </si>
  <si>
    <t>DJ/Fall 2021</t>
  </si>
  <si>
    <t>DJ/Summer 2021</t>
  </si>
  <si>
    <t>Appalachia/2021</t>
  </si>
  <si>
    <t>Uinta/2020</t>
  </si>
  <si>
    <t>Kairos Barnett</t>
  </si>
  <si>
    <t>N</t>
  </si>
  <si>
    <t>Min detected emission</t>
  </si>
  <si>
    <t>Methane fractional loss partial</t>
  </si>
  <si>
    <t>Methane fractional loss total</t>
  </si>
  <si>
    <t>Simulation (t/h)</t>
  </si>
  <si>
    <t>Aerial (t/h)</t>
  </si>
  <si>
    <t>Partial (t/h)</t>
  </si>
  <si>
    <t>Permian/2020</t>
  </si>
  <si>
    <t>Total sim emissions</t>
  </si>
  <si>
    <t>Fraction sim retained</t>
  </si>
  <si>
    <t>Total/Sim</t>
  </si>
  <si>
    <t>Transition point</t>
  </si>
  <si>
    <t>Total covered production (t(CH4)/hr)</t>
  </si>
  <si>
    <t>Production/site covered</t>
  </si>
  <si>
    <t>Production per site visit/Production per site</t>
  </si>
  <si>
    <t>FracLoss per site/FracLoss per site visit</t>
  </si>
  <si>
    <t>Production ratio/FracLoss ratio</t>
  </si>
  <si>
    <t>San Joaquin/2016</t>
  </si>
  <si>
    <t>San Joaquin/2017</t>
  </si>
  <si>
    <t>Wells covered</t>
  </si>
  <si>
    <t>Well visits</t>
  </si>
  <si>
    <t>Stratify by covered prod</t>
  </si>
  <si>
    <t>No</t>
  </si>
  <si>
    <t>Yes</t>
  </si>
  <si>
    <t>Include repeats</t>
  </si>
  <si>
    <t>Avg % wells emitting</t>
  </si>
  <si>
    <t>Wells per site</t>
  </si>
  <si>
    <t>Avg % sites emitting</t>
  </si>
  <si>
    <t>FracLossP2.5</t>
  </si>
  <si>
    <t>FracLossP97.5</t>
  </si>
  <si>
    <t>FracLossP2.5Full</t>
  </si>
  <si>
    <t>FracLossP97.5Full</t>
  </si>
  <si>
    <t>Permian/2019 w/2021 bounds</t>
  </si>
  <si>
    <t>FracLoss change site visit</t>
  </si>
  <si>
    <t>Midland_2019_F2021_bounds</t>
  </si>
  <si>
    <t>Delaware_2019_F2021_bounds</t>
  </si>
  <si>
    <t>Well site visits</t>
  </si>
  <si>
    <t>Totals excluding repeats</t>
  </si>
  <si>
    <t>Totals including repeats (no 2019 subcampaigns)</t>
  </si>
  <si>
    <t>Aerial emissions P2.5</t>
  </si>
  <si>
    <t>Aerial emissions P97.5</t>
  </si>
  <si>
    <t>Total emissions + midstream (t/h)</t>
  </si>
  <si>
    <t>Total emissions + midstream P2.5</t>
  </si>
  <si>
    <t>Total emissions + midstream P97.5</t>
  </si>
  <si>
    <t>AerialFracLossP2.5</t>
  </si>
  <si>
    <t>AerialFracLossP97.5</t>
  </si>
  <si>
    <t># production plumes</t>
  </si>
  <si>
    <t># production plumes sel</t>
  </si>
  <si>
    <t># prod sources overall</t>
  </si>
  <si>
    <t># avg prod sources sim</t>
  </si>
  <si>
    <t># midstream plumes</t>
  </si>
  <si>
    <t># midstream sources</t>
  </si>
  <si>
    <t>Null</t>
  </si>
  <si>
    <t>Midstream partial detect (t/h)</t>
  </si>
  <si>
    <t>FracLossMidPartial</t>
  </si>
  <si>
    <t>Aerial midstream emissions (t/h)</t>
  </si>
  <si>
    <t>Aerial midstream emissions P2.5</t>
  </si>
  <si>
    <t>Aerial midstream emissions P97.5</t>
  </si>
  <si>
    <t>Midstream GHGI below min detect (t/h)</t>
  </si>
  <si>
    <t>FracLossMidGHGI</t>
  </si>
  <si>
    <t>GHGI 2022 (for 2020)</t>
  </si>
  <si>
    <t>Total production emissions</t>
  </si>
  <si>
    <t>Total aerial+partial emissions</t>
  </si>
  <si>
    <t>Frac aerial+partial</t>
  </si>
  <si>
    <t>Frac sim</t>
  </si>
  <si>
    <t>Total aerial</t>
  </si>
  <si>
    <t>Frac aerial</t>
  </si>
  <si>
    <t>Frac midstream</t>
  </si>
  <si>
    <t>Frac midstream aerial</t>
  </si>
  <si>
    <t>Fraction of national gas covered</t>
  </si>
  <si>
    <t>2021 US gas prod</t>
  </si>
  <si>
    <t>FracLossProd</t>
  </si>
  <si>
    <t>% SDev of MC iterations</t>
  </si>
  <si>
    <t>SErr of mean total emissions</t>
  </si>
  <si>
    <t>SD to SErr factor</t>
  </si>
  <si>
    <t>Uinta_2020</t>
  </si>
  <si>
    <t>Permian_2019</t>
  </si>
  <si>
    <t>Permian_2020</t>
  </si>
  <si>
    <t>Permian_fall2021</t>
  </si>
  <si>
    <t>Permian_summer2021</t>
  </si>
  <si>
    <t>San_Joaquin_2016</t>
  </si>
  <si>
    <t>San_Joaquin_2017</t>
  </si>
  <si>
    <t>San_Joaquin_fall2020</t>
  </si>
  <si>
    <t>San_Joaquin_summer2020</t>
  </si>
  <si>
    <t>San_Joaquin_fall2021</t>
  </si>
  <si>
    <t>Denver_summer2021</t>
  </si>
  <si>
    <t>Denver_fall2021</t>
  </si>
  <si>
    <t>Pennsylvania_2021</t>
  </si>
  <si>
    <t>Fort_Worth_2021</t>
  </si>
  <si>
    <t>Permian_2019_F2021_bounds</t>
  </si>
  <si>
    <t>Permian_2019_F2021_bounds_Delaware</t>
  </si>
  <si>
    <t>Permian_2019_F2021_Midland</t>
  </si>
  <si>
    <t>Scenario</t>
  </si>
  <si>
    <t>Kairos_Permian</t>
  </si>
  <si>
    <t>Permian total</t>
  </si>
  <si>
    <t>San Joaquin total</t>
  </si>
  <si>
    <t>Denver total</t>
  </si>
  <si>
    <t>GHGI NM 2019</t>
  </si>
  <si>
    <t>GHGI TX 2021</t>
  </si>
  <si>
    <t>GHGI CA 2021</t>
  </si>
  <si>
    <t>GHGI PA 2021</t>
  </si>
  <si>
    <t>GHGI CO 2021</t>
  </si>
  <si>
    <t>State GHGI</t>
  </si>
  <si>
    <t>Per+SJ+DJ</t>
  </si>
  <si>
    <t>Totals excluding high-prod campaigns</t>
  </si>
  <si>
    <t>NG methane fraction</t>
  </si>
  <si>
    <t>kgCH4 per mcfNG</t>
  </si>
  <si>
    <t>Social cost of methane [$/t]</t>
  </si>
  <si>
    <t>Hours per day</t>
  </si>
  <si>
    <t>NG cost [$/mcf]</t>
  </si>
  <si>
    <t>tCH4/mcf(NG)</t>
  </si>
  <si>
    <t>Annual NG value</t>
  </si>
  <si>
    <t>Annual social cost of emissions [$/yr]</t>
  </si>
  <si>
    <t>Annual NG emissions [mcf/yr]</t>
  </si>
  <si>
    <t>Emissions [tCH4/yr]</t>
  </si>
  <si>
    <t>Price/t(CH4)</t>
  </si>
  <si>
    <t>Emissions [tCO2e/yr]</t>
  </si>
  <si>
    <t>GWP20 (IPCC 2021)</t>
  </si>
  <si>
    <t>https://report.ipcc.ch/ar6/wg1/IPCC_AR6_WGI_FullReport.pdf</t>
  </si>
  <si>
    <t>Table 7.15</t>
  </si>
  <si>
    <t>Northeast_Pennsylvania_2021</t>
  </si>
  <si>
    <t>Full upper errorbar % total</t>
  </si>
  <si>
    <t>Full lower errorbar % total</t>
  </si>
  <si>
    <t>Partial prod % total</t>
  </si>
  <si>
    <t>Partial mid % total</t>
  </si>
  <si>
    <t>GHGI midstream sub-aerial fraction</t>
  </si>
  <si>
    <t>Aerially measured/Total emissions</t>
  </si>
  <si>
    <t>Simulation P2.5</t>
  </si>
  <si>
    <t>Simulation P97.5</t>
  </si>
  <si>
    <t>Aerial P2.5</t>
  </si>
  <si>
    <t>Aerial P97.5</t>
  </si>
  <si>
    <t>Well site emissions (t/h)</t>
  </si>
  <si>
    <t>Well site emissions P2.5</t>
  </si>
  <si>
    <t>Well site emissions P97.5</t>
  </si>
  <si>
    <t>Date</t>
  </si>
  <si>
    <t>Avg visits/well site</t>
  </si>
  <si>
    <t>SErr of sample mean</t>
  </si>
  <si>
    <t>Simulation % well site</t>
  </si>
  <si>
    <t>Aerial % well site</t>
  </si>
  <si>
    <t>Partial % well site</t>
  </si>
  <si>
    <t>Methane fractional loss simulation well site</t>
  </si>
  <si>
    <t>Methane fractional loss simulation well siteP2.5</t>
  </si>
  <si>
    <t>Methane fractional loss simulation well siteP97.5</t>
  </si>
  <si>
    <t>Methane fractional loss aerial well site</t>
  </si>
  <si>
    <t>Methane fractional loss partialP2.5</t>
  </si>
  <si>
    <t>Methane fractional loss partialP97.5</t>
  </si>
  <si>
    <t>FracLossProdP2.5</t>
  </si>
  <si>
    <t>FracLossProdP97.5</t>
  </si>
  <si>
    <t>FracLossMidAerial</t>
  </si>
  <si>
    <t>FracLossMidAerialP2.5</t>
  </si>
  <si>
    <t>FracLossMidAerialP97.5</t>
  </si>
  <si>
    <t>FracLossMidPartialP2.5</t>
  </si>
  <si>
    <t>FracLossMidPartialP97.5</t>
  </si>
  <si>
    <t>FracLossMidGHGIP2.5</t>
  </si>
  <si>
    <t>FracLossMidGHGIP97.5</t>
  </si>
  <si>
    <t>FracLossMidstream total</t>
  </si>
  <si>
    <t>FracLossMidstream totalP2.5</t>
  </si>
  <si>
    <t>FracLossMidstream totalP97.5</t>
  </si>
  <si>
    <t>% well site visits with plume</t>
  </si>
  <si>
    <t>% well site visits with selected plume</t>
  </si>
  <si>
    <t>Well sites covered</t>
  </si>
  <si>
    <t>% well sites ever emitting</t>
  </si>
  <si>
    <t>Total aerialP2.5</t>
  </si>
  <si>
    <t>Total aerialP97.5</t>
  </si>
  <si>
    <t>Total aerial+partial emissionsP2.5</t>
  </si>
  <si>
    <t>Total aerial+partial emissionsP97.5</t>
  </si>
  <si>
    <t>Total sim emissionsP2.5</t>
  </si>
  <si>
    <t>Total sim emissionsP97.5</t>
  </si>
  <si>
    <t>Total aerial all segments inc below min detect</t>
  </si>
  <si>
    <t>Total aerial all segments inc below min detect P2.5</t>
  </si>
  <si>
    <t>Total aerial all segments inc below min detect P97.5</t>
  </si>
  <si>
    <t>Total pipeline emissions</t>
  </si>
  <si>
    <t>Total pipeline emissions P2.5</t>
  </si>
  <si>
    <t>Total pipeline emissions P97.5</t>
  </si>
  <si>
    <t>Total compressor emissions</t>
  </si>
  <si>
    <t>Total compressor emissions P2.5</t>
  </si>
  <si>
    <t>Total compressor emissions P97.5</t>
  </si>
  <si>
    <t>Total processing emissions</t>
  </si>
  <si>
    <t>Total processing emissions P2.5</t>
  </si>
  <si>
    <t>Total processing emissions P97.5</t>
  </si>
  <si>
    <t>Total other midstream emissions</t>
  </si>
  <si>
    <t>Total other midstream emissions P2.5</t>
  </si>
  <si>
    <t>Total other midstream emissions P97.5</t>
  </si>
  <si>
    <t>Partial P2.5</t>
  </si>
  <si>
    <t>Partial P97.5</t>
  </si>
  <si>
    <t>Table 7</t>
  </si>
  <si>
    <t>Table 8</t>
  </si>
  <si>
    <t>Avg emissions/site</t>
  </si>
  <si>
    <t>REVISIT</t>
  </si>
  <si>
    <t>Table 23</t>
  </si>
  <si>
    <t>Table 24</t>
  </si>
  <si>
    <t>Methane emissions [t/hr]</t>
  </si>
  <si>
    <t>Methane loss rate [%]</t>
  </si>
  <si>
    <t>GHGI 2022</t>
  </si>
  <si>
    <t>Total</t>
  </si>
  <si>
    <t>Table 25</t>
  </si>
  <si>
    <t>Production: Simulated [%]</t>
  </si>
  <si>
    <t>Production: Aerial [%]</t>
  </si>
  <si>
    <t>Production: Aerial partial [%]</t>
  </si>
  <si>
    <t>Production: Total [%]</t>
  </si>
  <si>
    <t>Table 26</t>
  </si>
  <si>
    <t>Midstream: Simulated [%]</t>
  </si>
  <si>
    <t>Midstream: Aerial [%]</t>
  </si>
  <si>
    <t>Midstream: Aerial partial [%]</t>
  </si>
  <si>
    <t>Midstream: Total [%]</t>
  </si>
  <si>
    <t>Table 27</t>
  </si>
  <si>
    <t>Production: Simulated full distribution [%]</t>
  </si>
  <si>
    <t>Production: GHGI [%]</t>
  </si>
  <si>
    <t>% difference</t>
  </si>
  <si>
    <t>Tot sim emissions loss rate</t>
  </si>
  <si>
    <t>Tot sim emissions loss rate P2.5</t>
  </si>
  <si>
    <t>Tot sim emissions loss rate P97.5</t>
  </si>
  <si>
    <t>Prod-only state GHGI loss</t>
  </si>
  <si>
    <t>Prod-only state GHGI loss low</t>
  </si>
  <si>
    <t>Prod-only state GHGI loss high</t>
  </si>
  <si>
    <t>Table 28</t>
  </si>
  <si>
    <t>Logormal fit mean</t>
  </si>
  <si>
    <t>From Jupyter code</t>
  </si>
  <si>
    <t>Lognormal/This study</t>
  </si>
  <si>
    <t>Table 29</t>
  </si>
  <si>
    <t>Pipeline [t/h]</t>
  </si>
  <si>
    <t>Compressor [t/h]</t>
  </si>
  <si>
    <t>Processing [t/h]</t>
  </si>
  <si>
    <t>Other [t/h]</t>
  </si>
  <si>
    <t>Total [t/h]</t>
  </si>
  <si>
    <t>20230329b</t>
  </si>
  <si>
    <t>Pipeline %</t>
  </si>
  <si>
    <t>Aerial fraction of total</t>
  </si>
  <si>
    <t>Table 30</t>
  </si>
  <si>
    <t>Aerial fraction of total production</t>
  </si>
  <si>
    <t>Aerial fraction of total midstream</t>
  </si>
  <si>
    <t>Total aerial all segments inc below transition</t>
  </si>
  <si>
    <t>Total aerial all segments inc below transition P2.5</t>
  </si>
  <si>
    <t>Total aerial all segments inc below transition P97.5</t>
  </si>
  <si>
    <t>Total aerial prod emissions inc below transition</t>
  </si>
  <si>
    <t>Total aerial prod emissions inc below transition P2.5</t>
  </si>
  <si>
    <t>Total aerial prod emissions inc below transition P97.5</t>
  </si>
  <si>
    <t>Total aerial mid emissions inc below transition</t>
  </si>
  <si>
    <t>Total aerial mid emissions inc below transition P2.5</t>
  </si>
  <si>
    <t>Total aerial mid emissions inc below transition P97.5</t>
  </si>
  <si>
    <t>Tot midstream excl repeats</t>
  </si>
  <si>
    <t>Midstream partial detect fraction of total</t>
  </si>
  <si>
    <t>Well site partial detect fraction total</t>
  </si>
  <si>
    <t>Uinta cross-check with 20230330c model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</si>
</sst>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_(* #,##0_);_(* \(#,##0\);_(* &quot;-&quot;??_);_(@_)"/>
    <numFmt numFmtId="172" formatCode="0.000000"/>
    <numFmt numFmtId="175" formatCode="_(* #,##0.0000_);_(* \(#,##0.0000\);_(* &quot;-&quot;??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164" fontId="0" fillId="0" borderId="0" xfId="1" applyNumberFormat="1" applyFont="1"/>
    <xf numFmtId="10" fontId="0" fillId="0" borderId="0" xfId="1" applyNumberFormat="1" applyFont="1"/>
    <xf numFmtId="1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2" applyNumberFormat="1" applyFont="1"/>
    <xf numFmtId="43" fontId="0" fillId="0" borderId="0" xfId="2" applyNumberFormat="1" applyFont="1"/>
    <xf numFmtId="9" fontId="0" fillId="0" borderId="0" xfId="1" applyFont="1"/>
    <xf numFmtId="166" fontId="0" fillId="0" borderId="0" xfId="0" applyNumberFormat="1"/>
    <xf numFmtId="2" fontId="0" fillId="0" borderId="0" xfId="0" applyNumberFormat="1"/>
    <xf numFmtId="0" fontId="0" fillId="0" borderId="0" xfId="1" applyNumberFormat="1" applyFont="1"/>
    <xf numFmtId="0" fontId="0" fillId="0" borderId="0" xfId="0" applyNumberFormat="1"/>
    <xf numFmtId="43" fontId="0" fillId="0" borderId="0" xfId="0" applyNumberFormat="1"/>
    <xf numFmtId="11" fontId="0" fillId="0" borderId="0" xfId="0" applyNumberFormat="1"/>
    <xf numFmtId="166" fontId="2" fillId="0" borderId="0" xfId="0" applyNumberFormat="1" applyFont="1"/>
    <xf numFmtId="10" fontId="1" fillId="0" borderId="0" xfId="1" applyNumberFormat="1" applyFont="1"/>
    <xf numFmtId="164" fontId="0" fillId="0" borderId="0" xfId="0" applyNumberFormat="1"/>
    <xf numFmtId="0" fontId="0" fillId="0" borderId="1" xfId="0" applyBorder="1"/>
    <xf numFmtId="172" fontId="0" fillId="0" borderId="0" xfId="0" applyNumberFormat="1"/>
    <xf numFmtId="175" fontId="0" fillId="0" borderId="0" xfId="2" applyNumberFormat="1" applyFont="1"/>
    <xf numFmtId="0" fontId="3" fillId="0" borderId="0" xfId="0" applyFont="1"/>
    <xf numFmtId="9" fontId="0" fillId="0" borderId="0" xfId="1" applyNumberFormat="1" applyFont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4DE12-06D3-DE48-9444-8601A6E70870}">
  <dimension ref="A1:EG59"/>
  <sheetViews>
    <sheetView tabSelected="1" workbookViewId="0">
      <pane xSplit="1" ySplit="1" topLeftCell="B11" activePane="bottomRight" state="frozen"/>
      <selection pane="topRight" activeCell="B1" sqref="B1"/>
      <selection pane="bottomLeft" activeCell="A2" sqref="A2"/>
      <selection pane="bottomRight" activeCell="A42" sqref="A42"/>
    </sheetView>
  </sheetViews>
  <sheetFormatPr baseColWidth="10" defaultRowHeight="16" x14ac:dyDescent="0.2"/>
  <cols>
    <col min="1" max="1" width="21.1640625" customWidth="1"/>
    <col min="2" max="2" width="14.5" customWidth="1"/>
    <col min="3" max="8" width="11" bestFit="1" customWidth="1"/>
    <col min="9" max="10" width="11" customWidth="1"/>
    <col min="11" max="15" width="11" bestFit="1" customWidth="1"/>
    <col min="16" max="16" width="17.83203125" customWidth="1"/>
    <col min="17" max="17" width="16.83203125" customWidth="1"/>
    <col min="18" max="19" width="16.1640625" customWidth="1"/>
    <col min="20" max="20" width="11" bestFit="1" customWidth="1"/>
    <col min="21" max="21" width="17.6640625" customWidth="1"/>
    <col min="22" max="22" width="18.5" customWidth="1"/>
    <col min="23" max="23" width="17.6640625" bestFit="1" customWidth="1"/>
    <col min="24" max="24" width="11" bestFit="1" customWidth="1"/>
    <col min="25" max="25" width="11.1640625" bestFit="1" customWidth="1"/>
    <col min="26" max="26" width="11.6640625" bestFit="1" customWidth="1"/>
    <col min="27" max="27" width="11.5" customWidth="1"/>
    <col min="28" max="36" width="11" bestFit="1" customWidth="1"/>
    <col min="37" max="37" width="13.33203125" bestFit="1" customWidth="1"/>
    <col min="38" max="38" width="13.33203125" customWidth="1"/>
    <col min="39" max="43" width="11" bestFit="1" customWidth="1"/>
    <col min="44" max="44" width="12.33203125" customWidth="1"/>
    <col min="45" max="46" width="11" bestFit="1" customWidth="1"/>
    <col min="47" max="47" width="20" customWidth="1"/>
    <col min="48" max="48" width="27.1640625" customWidth="1"/>
    <col min="49" max="49" width="16.5" customWidth="1"/>
    <col min="50" max="50" width="17.5" customWidth="1"/>
    <col min="51" max="60" width="11" bestFit="1" customWidth="1"/>
    <col min="61" max="61" width="15.1640625" customWidth="1"/>
    <col min="62" max="70" width="11" bestFit="1" customWidth="1"/>
    <col min="71" max="76" width="14" style="13" customWidth="1"/>
    <col min="77" max="77" width="19.6640625" style="13" customWidth="1"/>
    <col min="78" max="80" width="11" bestFit="1" customWidth="1"/>
    <col min="85" max="85" width="21" bestFit="1" customWidth="1"/>
    <col min="86" max="86" width="20.33203125" bestFit="1" customWidth="1"/>
    <col min="91" max="91" width="23.1640625" bestFit="1" customWidth="1"/>
  </cols>
  <sheetData>
    <row r="1" spans="1:137" x14ac:dyDescent="0.2">
      <c r="A1" t="s">
        <v>106</v>
      </c>
      <c r="B1" t="s">
        <v>18</v>
      </c>
      <c r="C1" t="s">
        <v>141</v>
      </c>
      <c r="D1" t="s">
        <v>142</v>
      </c>
      <c r="E1" t="s">
        <v>19</v>
      </c>
      <c r="F1" t="s">
        <v>143</v>
      </c>
      <c r="G1" t="s">
        <v>144</v>
      </c>
      <c r="H1" t="s">
        <v>20</v>
      </c>
      <c r="I1" t="s">
        <v>197</v>
      </c>
      <c r="J1" t="s">
        <v>198</v>
      </c>
      <c r="K1" t="s">
        <v>145</v>
      </c>
      <c r="L1" t="s">
        <v>146</v>
      </c>
      <c r="M1" t="s">
        <v>147</v>
      </c>
      <c r="N1" t="s">
        <v>53</v>
      </c>
      <c r="O1" t="s">
        <v>54</v>
      </c>
      <c r="P1" t="s">
        <v>69</v>
      </c>
      <c r="Q1" t="s">
        <v>70</v>
      </c>
      <c r="R1" t="s">
        <v>71</v>
      </c>
      <c r="S1" t="s">
        <v>67</v>
      </c>
      <c r="T1" t="s">
        <v>72</v>
      </c>
      <c r="U1" t="s">
        <v>55</v>
      </c>
      <c r="V1" t="s">
        <v>56</v>
      </c>
      <c r="W1" t="s">
        <v>57</v>
      </c>
      <c r="X1" t="s">
        <v>14</v>
      </c>
      <c r="Y1" t="s">
        <v>86</v>
      </c>
      <c r="Z1" t="s">
        <v>15</v>
      </c>
      <c r="AA1" t="s">
        <v>25</v>
      </c>
      <c r="AB1" t="s">
        <v>26</v>
      </c>
      <c r="AC1" t="s">
        <v>33</v>
      </c>
      <c r="AD1" t="s">
        <v>34</v>
      </c>
      <c r="AE1" t="s">
        <v>40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  <c r="AK1" t="s">
        <v>65</v>
      </c>
      <c r="AM1" t="s">
        <v>22</v>
      </c>
      <c r="AN1" t="s">
        <v>35</v>
      </c>
      <c r="AO1" t="s">
        <v>38</v>
      </c>
      <c r="AP1" t="s">
        <v>148</v>
      </c>
      <c r="AQ1" t="s">
        <v>50</v>
      </c>
      <c r="AR1" t="s">
        <v>149</v>
      </c>
      <c r="AS1" t="s">
        <v>88</v>
      </c>
      <c r="AT1" t="s">
        <v>87</v>
      </c>
      <c r="AU1" t="s">
        <v>150</v>
      </c>
      <c r="AV1" t="s">
        <v>151</v>
      </c>
      <c r="AW1" t="s">
        <v>152</v>
      </c>
      <c r="AX1" t="s">
        <v>153</v>
      </c>
      <c r="AY1" s="1" t="s">
        <v>154</v>
      </c>
      <c r="AZ1" s="1" t="s">
        <v>155</v>
      </c>
      <c r="BA1" t="s">
        <v>156</v>
      </c>
      <c r="BB1" t="s">
        <v>157</v>
      </c>
      <c r="BC1" t="s">
        <v>58</v>
      </c>
      <c r="BD1" t="s">
        <v>59</v>
      </c>
      <c r="BE1" t="s">
        <v>16</v>
      </c>
      <c r="BF1" t="s">
        <v>158</v>
      </c>
      <c r="BG1" t="s">
        <v>159</v>
      </c>
      <c r="BH1" t="s">
        <v>85</v>
      </c>
      <c r="BI1" t="s">
        <v>160</v>
      </c>
      <c r="BJ1" t="s">
        <v>161</v>
      </c>
      <c r="BK1" t="s">
        <v>17</v>
      </c>
      <c r="BL1" t="s">
        <v>42</v>
      </c>
      <c r="BM1" t="s">
        <v>43</v>
      </c>
      <c r="BN1" t="s">
        <v>44</v>
      </c>
      <c r="BO1" t="s">
        <v>45</v>
      </c>
      <c r="BP1" t="s">
        <v>162</v>
      </c>
      <c r="BQ1" t="s">
        <v>163</v>
      </c>
      <c r="BR1" t="s">
        <v>164</v>
      </c>
      <c r="BS1" t="s">
        <v>68</v>
      </c>
      <c r="BT1" t="s">
        <v>165</v>
      </c>
      <c r="BU1" t="s">
        <v>166</v>
      </c>
      <c r="BV1" t="s">
        <v>73</v>
      </c>
      <c r="BW1" t="s">
        <v>167</v>
      </c>
      <c r="BX1" t="s">
        <v>168</v>
      </c>
      <c r="BY1" t="s">
        <v>169</v>
      </c>
      <c r="BZ1" t="s">
        <v>170</v>
      </c>
      <c r="CA1" t="s">
        <v>171</v>
      </c>
      <c r="CB1" t="s">
        <v>172</v>
      </c>
      <c r="CC1" t="s">
        <v>173</v>
      </c>
      <c r="CD1" t="s">
        <v>23</v>
      </c>
      <c r="CE1" t="s">
        <v>174</v>
      </c>
      <c r="CF1" t="s">
        <v>175</v>
      </c>
      <c r="CG1" t="s">
        <v>39</v>
      </c>
      <c r="CH1" t="s">
        <v>41</v>
      </c>
      <c r="CI1" t="s">
        <v>79</v>
      </c>
      <c r="CJ1" t="s">
        <v>176</v>
      </c>
      <c r="CK1" t="s">
        <v>177</v>
      </c>
      <c r="CL1" t="s">
        <v>76</v>
      </c>
      <c r="CM1" t="s">
        <v>178</v>
      </c>
      <c r="CN1" t="s">
        <v>179</v>
      </c>
      <c r="CO1" t="s">
        <v>22</v>
      </c>
      <c r="CP1" t="s">
        <v>180</v>
      </c>
      <c r="CQ1" t="s">
        <v>181</v>
      </c>
      <c r="CR1" t="s">
        <v>245</v>
      </c>
      <c r="CS1" t="s">
        <v>246</v>
      </c>
      <c r="CT1" t="s">
        <v>247</v>
      </c>
      <c r="CU1" t="s">
        <v>185</v>
      </c>
      <c r="CV1" t="s">
        <v>186</v>
      </c>
      <c r="CW1" t="s">
        <v>187</v>
      </c>
      <c r="CX1" t="s">
        <v>188</v>
      </c>
      <c r="CY1" t="s">
        <v>189</v>
      </c>
      <c r="CZ1" t="s">
        <v>190</v>
      </c>
      <c r="DA1" t="s">
        <v>191</v>
      </c>
      <c r="DB1" t="s">
        <v>192</v>
      </c>
      <c r="DC1" t="s">
        <v>193</v>
      </c>
      <c r="DD1" t="s">
        <v>194</v>
      </c>
      <c r="DE1" t="s">
        <v>195</v>
      </c>
      <c r="DF1" t="s">
        <v>196</v>
      </c>
      <c r="DG1" t="s">
        <v>80</v>
      </c>
      <c r="DH1" t="s">
        <v>77</v>
      </c>
      <c r="DI1" t="s">
        <v>78</v>
      </c>
      <c r="DJ1" t="s">
        <v>81</v>
      </c>
      <c r="DK1" t="s">
        <v>82</v>
      </c>
      <c r="DL1" t="s">
        <v>75</v>
      </c>
      <c r="DM1" t="s">
        <v>24</v>
      </c>
      <c r="DN1" t="s">
        <v>27</v>
      </c>
      <c r="DO1" t="s">
        <v>116</v>
      </c>
      <c r="DP1" t="s">
        <v>119</v>
      </c>
      <c r="DQ1" t="s">
        <v>120</v>
      </c>
      <c r="DR1" t="s">
        <v>135</v>
      </c>
      <c r="DS1" t="s">
        <v>136</v>
      </c>
      <c r="DT1" t="s">
        <v>137</v>
      </c>
      <c r="DU1" t="s">
        <v>138</v>
      </c>
      <c r="DV1" t="s">
        <v>223</v>
      </c>
      <c r="DW1" t="s">
        <v>224</v>
      </c>
      <c r="DX1" t="s">
        <v>225</v>
      </c>
      <c r="DY1" t="s">
        <v>226</v>
      </c>
      <c r="DZ1" t="s">
        <v>227</v>
      </c>
      <c r="EA1" t="s">
        <v>228</v>
      </c>
      <c r="EB1" t="s">
        <v>248</v>
      </c>
      <c r="EC1" t="s">
        <v>249</v>
      </c>
      <c r="ED1" t="s">
        <v>250</v>
      </c>
      <c r="EE1" t="s">
        <v>251</v>
      </c>
      <c r="EF1" t="s">
        <v>252</v>
      </c>
      <c r="EG1" t="s">
        <v>253</v>
      </c>
    </row>
    <row r="2" spans="1:137" x14ac:dyDescent="0.2">
      <c r="A2" t="s">
        <v>107</v>
      </c>
      <c r="B2">
        <v>17.929620625610401</v>
      </c>
      <c r="C2">
        <v>17.4985681705421</v>
      </c>
      <c r="D2">
        <v>18.3239463948726</v>
      </c>
      <c r="E2">
        <v>87.902259973066705</v>
      </c>
      <c r="F2">
        <v>82.080805654451396</v>
      </c>
      <c r="G2">
        <v>94.348573431365907</v>
      </c>
      <c r="H2">
        <v>4.7456111261014602</v>
      </c>
      <c r="I2">
        <v>4.11976914587457</v>
      </c>
      <c r="J2">
        <v>5.4383811784263303</v>
      </c>
      <c r="K2">
        <v>110.57749172477899</v>
      </c>
      <c r="L2">
        <v>104.773173023623</v>
      </c>
      <c r="M2">
        <v>117.17931967665299</v>
      </c>
      <c r="N2">
        <v>82.080805654451396</v>
      </c>
      <c r="O2">
        <v>94.348573431365907</v>
      </c>
      <c r="P2">
        <v>65.779434365939593</v>
      </c>
      <c r="Q2" s="20">
        <v>58.254285575849003</v>
      </c>
      <c r="R2" s="20">
        <v>77.335406771145401</v>
      </c>
      <c r="S2" s="20">
        <v>4.58164813694858</v>
      </c>
      <c r="T2">
        <v>7.4248657538986702</v>
      </c>
      <c r="U2" s="12">
        <v>188.36343998156499</v>
      </c>
      <c r="V2" s="6">
        <v>177.02613469164601</v>
      </c>
      <c r="W2" s="6">
        <v>202.459640076093</v>
      </c>
      <c r="X2" s="7">
        <v>1000</v>
      </c>
      <c r="Y2" s="21">
        <v>6.2551355106405707E-2</v>
      </c>
      <c r="Z2" s="21">
        <v>7.0962342611128504</v>
      </c>
      <c r="AA2">
        <v>24.324000000000002</v>
      </c>
      <c r="AB2" s="7">
        <v>1952.04513368984</v>
      </c>
      <c r="AC2">
        <v>21637</v>
      </c>
      <c r="AD2">
        <v>81564</v>
      </c>
      <c r="AE2" s="6">
        <v>1.2</v>
      </c>
      <c r="AF2">
        <v>1279</v>
      </c>
      <c r="AG2">
        <v>1276.97</v>
      </c>
      <c r="AH2">
        <v>625</v>
      </c>
      <c r="AI2">
        <v>305.15800000000002</v>
      </c>
      <c r="AJ2">
        <v>706</v>
      </c>
      <c r="AK2" s="4">
        <v>331</v>
      </c>
      <c r="AL2" s="4"/>
      <c r="AM2" s="4">
        <v>25.354486379509101</v>
      </c>
      <c r="AN2" s="6" t="s">
        <v>37</v>
      </c>
      <c r="AO2" s="11" t="s">
        <v>36</v>
      </c>
      <c r="AP2" s="12" t="s">
        <v>239</v>
      </c>
      <c r="AQ2" s="12">
        <v>67970</v>
      </c>
      <c r="AR2">
        <v>3.76982806433722</v>
      </c>
      <c r="AS2">
        <v>0.51503794724005403</v>
      </c>
      <c r="AT2">
        <v>3.2216321531086799E-2</v>
      </c>
      <c r="AU2" s="12">
        <v>1.9780475286624599E-3</v>
      </c>
      <c r="AV2" s="2">
        <v>0.14190017564032301</v>
      </c>
      <c r="AW2" s="2">
        <v>0.85336402764710195</v>
      </c>
      <c r="AX2" s="2">
        <v>4.7357967125762198E-3</v>
      </c>
      <c r="AY2" s="3">
        <v>9.18504409358562E-3</v>
      </c>
      <c r="AZ2" s="3">
        <v>8.7562971474350292E-3</v>
      </c>
      <c r="BA2" s="3">
        <v>9.5772607887273896E-3</v>
      </c>
      <c r="BB2" s="3">
        <v>4.5030854285069803E-2</v>
      </c>
      <c r="BC2" s="3">
        <v>3.9240536350641599E-2</v>
      </c>
      <c r="BD2" s="3">
        <v>5.1442689264033198E-2</v>
      </c>
      <c r="BE2" s="3">
        <v>2.43109702957078E-3</v>
      </c>
      <c r="BF2" s="3">
        <v>1.8086024012718201E-3</v>
      </c>
      <c r="BG2" s="3">
        <v>3.1201617613138802E-3</v>
      </c>
      <c r="BH2" s="3">
        <v>5.6646995408226201E-2</v>
      </c>
      <c r="BI2" s="3">
        <v>5.3673540234992503E-2</v>
      </c>
      <c r="BJ2" s="3">
        <v>6.0029001202013897E-2</v>
      </c>
      <c r="BK2" s="3">
        <v>9.6495432780036597E-2</v>
      </c>
      <c r="BL2" s="3">
        <v>-5.8079114536093096E-3</v>
      </c>
      <c r="BM2" s="3">
        <v>7.2212470148588503E-3</v>
      </c>
      <c r="BN2" s="3">
        <v>9.0687521326427295E-2</v>
      </c>
      <c r="BO2" s="3">
        <v>0.103716679794895</v>
      </c>
      <c r="BP2" s="3">
        <v>3.3697701569840498E-2</v>
      </c>
      <c r="BQ2" s="3">
        <v>2.9842693988193902E-2</v>
      </c>
      <c r="BR2" s="3">
        <v>3.9617632521110203E-2</v>
      </c>
      <c r="BS2" s="3">
        <v>2.34710153872731E-3</v>
      </c>
      <c r="BT2" s="3">
        <v>1.9939591169928399E-3</v>
      </c>
      <c r="BU2" s="3">
        <v>2.7481000195244101E-3</v>
      </c>
      <c r="BV2" s="3">
        <v>3.8036342632426102E-3</v>
      </c>
      <c r="BW2" s="3">
        <v>3.1189800958589401E-3</v>
      </c>
      <c r="BX2" s="3">
        <v>4.4882884306262699E-3</v>
      </c>
      <c r="BY2" s="3">
        <v>3.9848437371810402E-2</v>
      </c>
      <c r="BZ2" s="3">
        <v>3.5203038097516799E-2</v>
      </c>
      <c r="CA2" s="3">
        <v>4.64943954150299E-2</v>
      </c>
      <c r="CB2">
        <v>1.8817125202295101E-2</v>
      </c>
      <c r="CC2" s="3">
        <v>1.8787259084890401E-2</v>
      </c>
      <c r="CD2">
        <v>0.76546051340015797</v>
      </c>
      <c r="CE2">
        <v>18030</v>
      </c>
      <c r="CF2">
        <v>3.4664448141985597E-2</v>
      </c>
      <c r="CG2" s="5">
        <v>1.4103526366871601E-2</v>
      </c>
      <c r="CH2" s="5">
        <v>1.6925013865779302E-2</v>
      </c>
      <c r="CI2" s="13">
        <v>153.68169433900599</v>
      </c>
      <c r="CJ2" s="13">
        <v>146.156545548916</v>
      </c>
      <c r="CK2" s="12">
        <v>165.23766674421199</v>
      </c>
      <c r="CL2" s="13">
        <v>158.263342475955</v>
      </c>
      <c r="CM2" s="13">
        <v>150.04884374001799</v>
      </c>
      <c r="CN2">
        <v>170.60208201421801</v>
      </c>
      <c r="CO2">
        <v>25.354486379509101</v>
      </c>
      <c r="CP2">
        <v>23.586958088738999</v>
      </c>
      <c r="CQ2">
        <v>27.085287984472998</v>
      </c>
      <c r="CR2">
        <v>153.753650794577</v>
      </c>
      <c r="CS2">
        <v>142.45922031171199</v>
      </c>
      <c r="CT2">
        <v>166.27038364651801</v>
      </c>
      <c r="CU2">
        <v>18.631947593280302</v>
      </c>
      <c r="CV2">
        <v>15.1311565923691</v>
      </c>
      <c r="CW2">
        <v>27.7656808973952</v>
      </c>
      <c r="CX2">
        <v>6.9420467688354002</v>
      </c>
      <c r="CY2">
        <v>5.7684392159464801</v>
      </c>
      <c r="CZ2">
        <v>8.3373798035933895</v>
      </c>
      <c r="DA2">
        <v>3.8004510570344601</v>
      </c>
      <c r="DB2">
        <v>2.9824594898807999</v>
      </c>
      <c r="DC2">
        <v>5.1953953325390403</v>
      </c>
      <c r="DD2">
        <v>36.404988946789402</v>
      </c>
      <c r="DE2">
        <v>30.915008145314602</v>
      </c>
      <c r="DF2">
        <v>43.947117039575303</v>
      </c>
      <c r="DG2">
        <v>0.81587694745079997</v>
      </c>
      <c r="DH2">
        <v>0.84020066387430303</v>
      </c>
      <c r="DI2">
        <v>0.134605132671855</v>
      </c>
      <c r="DJ2">
        <v>0.41295429502160502</v>
      </c>
      <c r="DK2">
        <v>0.34921248844739999</v>
      </c>
      <c r="DL2">
        <v>110.57749172477899</v>
      </c>
      <c r="DM2">
        <v>4.7208363482836599</v>
      </c>
      <c r="DN2">
        <v>0.108266507692171</v>
      </c>
      <c r="DO2">
        <v>1.24781772796976E-2</v>
      </c>
      <c r="DP2">
        <v>0.9</v>
      </c>
      <c r="DQ2">
        <v>17.326203208556102</v>
      </c>
      <c r="DR2">
        <v>7.4834070859182505E-2</v>
      </c>
      <c r="DS2">
        <v>-6.0183904508491003E-2</v>
      </c>
      <c r="DT2">
        <v>2.5194203453842198E-2</v>
      </c>
      <c r="DU2">
        <v>1.8863949866042201E-2</v>
      </c>
      <c r="DV2">
        <v>1.1999417562604101E-2</v>
      </c>
      <c r="DW2">
        <v>1.16473518212658E-2</v>
      </c>
      <c r="DX2">
        <v>1.2462307185941801E-2</v>
      </c>
      <c r="DY2" s="5">
        <v>7.2701047721023199E-3</v>
      </c>
      <c r="DZ2" s="5">
        <v>8.2075578234694704E-3</v>
      </c>
      <c r="EA2" s="5">
        <v>6.3326517207351702E-3</v>
      </c>
      <c r="EB2">
        <v>87.974215999999998</v>
      </c>
      <c r="EE2">
        <v>65.779433999999995</v>
      </c>
    </row>
    <row r="3" spans="1:137" x14ac:dyDescent="0.2">
      <c r="A3" t="s">
        <v>90</v>
      </c>
      <c r="B3">
        <v>69.417499396484303</v>
      </c>
      <c r="C3">
        <v>68.443659150732401</v>
      </c>
      <c r="D3">
        <v>70.635571021981093</v>
      </c>
      <c r="E3">
        <v>236.18653408357801</v>
      </c>
      <c r="F3">
        <v>226.225805177697</v>
      </c>
      <c r="G3">
        <v>246.325639391588</v>
      </c>
      <c r="H3">
        <v>0</v>
      </c>
      <c r="I3">
        <v>0</v>
      </c>
      <c r="J3">
        <v>0</v>
      </c>
      <c r="K3">
        <v>305.60403348006201</v>
      </c>
      <c r="L3">
        <v>295.52414886006301</v>
      </c>
      <c r="M3">
        <v>315.79025984754202</v>
      </c>
      <c r="N3">
        <v>226.225805177697</v>
      </c>
      <c r="O3">
        <v>246.325639391588</v>
      </c>
      <c r="P3">
        <v>212.57882647721601</v>
      </c>
      <c r="Q3" s="20">
        <v>199.64633283371501</v>
      </c>
      <c r="R3" s="20">
        <v>226.59877749372001</v>
      </c>
      <c r="S3" s="20">
        <v>0</v>
      </c>
      <c r="T3">
        <v>38.281726508560197</v>
      </c>
      <c r="U3" s="12">
        <v>556.46458646583903</v>
      </c>
      <c r="V3" s="6">
        <v>532.92555520118594</v>
      </c>
      <c r="W3" s="6">
        <v>580.167781830992</v>
      </c>
      <c r="X3" s="7">
        <v>1000</v>
      </c>
      <c r="Y3" s="21">
        <v>3.26624826500772E-2</v>
      </c>
      <c r="Z3" s="21">
        <v>15.0295249</v>
      </c>
      <c r="AA3" s="8">
        <v>59.283000000000001</v>
      </c>
      <c r="AB3" s="7">
        <v>10526.8147291444</v>
      </c>
      <c r="AC3" s="7">
        <v>84570</v>
      </c>
      <c r="AD3" s="7">
        <v>326908</v>
      </c>
      <c r="AE3" s="6">
        <v>1.82507693639206</v>
      </c>
      <c r="AF3">
        <v>1749</v>
      </c>
      <c r="AG3">
        <v>1645.742</v>
      </c>
      <c r="AH3">
        <v>1054</v>
      </c>
      <c r="AI3">
        <v>483.44900000000001</v>
      </c>
      <c r="AJ3">
        <v>1272</v>
      </c>
      <c r="AK3" s="4">
        <v>679</v>
      </c>
      <c r="AL3" s="4"/>
      <c r="AM3" s="4">
        <v>107.699225905045</v>
      </c>
      <c r="AN3" s="6" t="s">
        <v>37</v>
      </c>
      <c r="AO3" s="11" t="s">
        <v>36</v>
      </c>
      <c r="AP3" s="12">
        <v>20230328</v>
      </c>
      <c r="AQ3" s="12">
        <v>179120</v>
      </c>
      <c r="AR3">
        <v>3.8655933703088201</v>
      </c>
      <c r="AS3">
        <v>0.50861822288460201</v>
      </c>
      <c r="AT3">
        <v>1.6612733880481401E-2</v>
      </c>
      <c r="AU3" s="12">
        <v>1.0328783920997601E-3</v>
      </c>
      <c r="AV3" s="2">
        <v>0.35168169133559601</v>
      </c>
      <c r="AW3" s="2">
        <v>0.64831830866440399</v>
      </c>
      <c r="AX3" s="2">
        <v>0</v>
      </c>
      <c r="AY3" s="3">
        <v>6.5943498753042598E-3</v>
      </c>
      <c r="AZ3" s="3">
        <v>6.4124640633987399E-3</v>
      </c>
      <c r="BA3" s="3">
        <v>6.8218512006283901E-3</v>
      </c>
      <c r="BB3" s="3">
        <v>2.2436657256793498E-2</v>
      </c>
      <c r="BC3" s="3">
        <v>2.05762748459003E-2</v>
      </c>
      <c r="BD3" s="3">
        <v>2.4330355334057599E-2</v>
      </c>
      <c r="BE3" s="3">
        <v>0</v>
      </c>
      <c r="BF3" s="3">
        <v>0</v>
      </c>
      <c r="BG3" s="3">
        <v>0</v>
      </c>
      <c r="BH3" s="3">
        <v>2.9031007132097698E-2</v>
      </c>
      <c r="BI3" s="3">
        <v>2.8073463480066702E-2</v>
      </c>
      <c r="BJ3" s="3">
        <v>2.9998652771312698E-2</v>
      </c>
      <c r="BK3" s="3">
        <v>5.2861630111644201E-2</v>
      </c>
      <c r="BL3" s="3">
        <v>-2.23610198054335E-3</v>
      </c>
      <c r="BM3" s="3">
        <v>2.2516968309063698E-3</v>
      </c>
      <c r="BN3" s="3">
        <v>5.0625528131100897E-2</v>
      </c>
      <c r="BO3" s="3">
        <v>5.5113326942550597E-2</v>
      </c>
      <c r="BP3" s="3">
        <v>2.0194031333017899E-2</v>
      </c>
      <c r="BQ3" s="3">
        <v>1.89655026682456E-2</v>
      </c>
      <c r="BR3" s="3">
        <v>2.1525863551712501E-2</v>
      </c>
      <c r="BS3" s="3">
        <v>0</v>
      </c>
      <c r="BT3" s="3">
        <v>0</v>
      </c>
      <c r="BU3" s="3">
        <v>0</v>
      </c>
      <c r="BV3" s="3">
        <v>3.6365916465285501E-3</v>
      </c>
      <c r="BW3" s="3">
        <v>2.9820051501534099E-3</v>
      </c>
      <c r="BX3" s="3">
        <v>4.2911781429036903E-3</v>
      </c>
      <c r="BY3" s="3">
        <v>2.3830622979546499E-2</v>
      </c>
      <c r="BZ3" s="3">
        <v>2.1947507818398999E-2</v>
      </c>
      <c r="CA3" s="3">
        <v>2.58170416946162E-2</v>
      </c>
      <c r="CB3">
        <v>9.7644037516748591E-3</v>
      </c>
      <c r="CC3" s="3">
        <v>9.1879298794104499E-3</v>
      </c>
      <c r="CD3">
        <v>0.829703084537742</v>
      </c>
      <c r="CE3">
        <v>46337</v>
      </c>
      <c r="CF3">
        <v>2.2746401363920799E-2</v>
      </c>
      <c r="CG3" s="5">
        <v>5.7165543336880698E-3</v>
      </c>
      <c r="CH3" s="5">
        <v>1.0433325420290501E-2</v>
      </c>
      <c r="CI3" s="13">
        <v>448.76536056079402</v>
      </c>
      <c r="CJ3" s="13">
        <v>435.83286691729302</v>
      </c>
      <c r="CK3" s="12">
        <v>462.78531157729799</v>
      </c>
      <c r="CL3" s="13">
        <v>448.76536056079402</v>
      </c>
      <c r="CM3" s="13">
        <v>435.83286691729302</v>
      </c>
      <c r="CN3">
        <v>462.78531157729799</v>
      </c>
      <c r="CO3">
        <v>107.699225905045</v>
      </c>
      <c r="CP3">
        <v>99.834674887751703</v>
      </c>
      <c r="CQ3">
        <v>115.808008302082</v>
      </c>
      <c r="CR3">
        <v>449.28444394970097</v>
      </c>
      <c r="CS3">
        <v>429.65375419715201</v>
      </c>
      <c r="CT3">
        <v>469.26869969541298</v>
      </c>
      <c r="CU3">
        <v>102.36224792354599</v>
      </c>
      <c r="CV3">
        <v>96.655734964306703</v>
      </c>
      <c r="CW3">
        <v>109.023002390983</v>
      </c>
      <c r="CX3">
        <v>80.647513625937705</v>
      </c>
      <c r="CY3">
        <v>74.031140789436094</v>
      </c>
      <c r="CZ3">
        <v>87.886073919089398</v>
      </c>
      <c r="DA3">
        <v>29.569064927732999</v>
      </c>
      <c r="DB3">
        <v>21.381252635822499</v>
      </c>
      <c r="DC3">
        <v>39.986644902338199</v>
      </c>
      <c r="DD3">
        <v>0</v>
      </c>
      <c r="DE3">
        <v>0</v>
      </c>
      <c r="DF3">
        <v>0</v>
      </c>
      <c r="DG3">
        <v>0.80645777878033398</v>
      </c>
      <c r="DH3">
        <v>0.80645777878033398</v>
      </c>
      <c r="DI3">
        <v>0.19354222121966599</v>
      </c>
      <c r="DJ3">
        <v>0.45081090203553997</v>
      </c>
      <c r="DK3">
        <v>0.382016265819417</v>
      </c>
      <c r="DL3">
        <v>305.60403348006201</v>
      </c>
      <c r="DM3">
        <v>3.6526892266459399</v>
      </c>
      <c r="DN3">
        <v>0.227179461966558</v>
      </c>
      <c r="DO3">
        <v>1.14918517480515E-2</v>
      </c>
      <c r="DP3">
        <v>0.9</v>
      </c>
      <c r="DQ3">
        <v>17.326203208556102</v>
      </c>
      <c r="DR3">
        <v>4.2594731180618003E-2</v>
      </c>
      <c r="DS3">
        <v>-4.2301957547472298E-2</v>
      </c>
      <c r="DT3">
        <v>0</v>
      </c>
      <c r="DU3">
        <v>0</v>
      </c>
      <c r="DY3" s="5">
        <v>6.4999999999999997E-3</v>
      </c>
      <c r="DZ3" s="5">
        <v>7.4000000000000003E-3</v>
      </c>
      <c r="EA3" s="5">
        <v>5.5999999999999999E-3</v>
      </c>
      <c r="EB3">
        <v>237.16313099999999</v>
      </c>
      <c r="EE3">
        <v>212.57882599999999</v>
      </c>
    </row>
    <row r="4" spans="1:137" x14ac:dyDescent="0.2">
      <c r="A4" t="s">
        <v>91</v>
      </c>
      <c r="B4">
        <v>22.4860010702766</v>
      </c>
      <c r="C4">
        <v>21.673995752845901</v>
      </c>
      <c r="D4">
        <v>23.318745177306699</v>
      </c>
      <c r="E4">
        <v>34.947968769686298</v>
      </c>
      <c r="F4">
        <v>31.679793362529399</v>
      </c>
      <c r="G4">
        <v>38.044823947592697</v>
      </c>
      <c r="H4">
        <v>0</v>
      </c>
      <c r="I4">
        <v>0</v>
      </c>
      <c r="J4">
        <v>0</v>
      </c>
      <c r="K4">
        <v>57.433969839962899</v>
      </c>
      <c r="L4">
        <v>53.993234102930998</v>
      </c>
      <c r="M4">
        <v>60.597126018684101</v>
      </c>
      <c r="N4">
        <v>31.679793362529399</v>
      </c>
      <c r="O4">
        <v>38.044823947592697</v>
      </c>
      <c r="P4">
        <v>60.160964195572298</v>
      </c>
      <c r="Q4" s="20">
        <v>53.506686784904403</v>
      </c>
      <c r="R4" s="20">
        <v>67.679217394872495</v>
      </c>
      <c r="S4" s="20">
        <v>0</v>
      </c>
      <c r="T4">
        <v>16.3695421682262</v>
      </c>
      <c r="U4" s="12">
        <v>133.964476203761</v>
      </c>
      <c r="V4" s="6">
        <v>123.222174788291</v>
      </c>
      <c r="W4" s="6">
        <v>145.20184977769699</v>
      </c>
      <c r="X4" s="7">
        <v>1000</v>
      </c>
      <c r="Y4" s="21">
        <v>5.2643636152650497E-2</v>
      </c>
      <c r="Z4" s="21">
        <v>8.0919112099999992</v>
      </c>
      <c r="AA4" s="8">
        <v>83.968000000000004</v>
      </c>
      <c r="AB4" s="7">
        <v>4766.5263912834198</v>
      </c>
      <c r="AC4" s="7">
        <v>17120</v>
      </c>
      <c r="AD4" s="7">
        <v>48890</v>
      </c>
      <c r="AE4" s="6">
        <v>1.82507693639206</v>
      </c>
      <c r="AF4">
        <v>284</v>
      </c>
      <c r="AG4">
        <v>246.309</v>
      </c>
      <c r="AH4">
        <v>239</v>
      </c>
      <c r="AI4">
        <v>101.24</v>
      </c>
      <c r="AJ4">
        <v>316</v>
      </c>
      <c r="AK4" s="4">
        <v>233</v>
      </c>
      <c r="AL4" s="4"/>
      <c r="AM4" s="4">
        <v>38.855543238502797</v>
      </c>
      <c r="AN4" s="6" t="s">
        <v>37</v>
      </c>
      <c r="AO4" s="11" t="s">
        <v>36</v>
      </c>
      <c r="AP4" s="12">
        <v>20230328</v>
      </c>
      <c r="AQ4" s="12">
        <v>26787</v>
      </c>
      <c r="AR4">
        <v>2.85575692963753</v>
      </c>
      <c r="AS4">
        <v>0.59175151754216704</v>
      </c>
      <c r="AT4">
        <v>3.1151951582268599E-2</v>
      </c>
      <c r="AU4" s="12">
        <v>1.6647379455555901E-3</v>
      </c>
      <c r="AV4" s="2">
        <v>0.53309279898058703</v>
      </c>
      <c r="AW4" s="2">
        <v>0.46690720101941302</v>
      </c>
      <c r="AX4" s="2">
        <v>0</v>
      </c>
      <c r="AY4" s="3">
        <v>4.7174817098247796E-3</v>
      </c>
      <c r="AZ4" s="3">
        <v>4.4295977346378796E-3</v>
      </c>
      <c r="BA4" s="3">
        <v>5.0127183033532897E-3</v>
      </c>
      <c r="BB4" s="3">
        <v>7.3319574677265702E-3</v>
      </c>
      <c r="BC4" s="3">
        <v>6.1732762280551599E-3</v>
      </c>
      <c r="BD4" s="3">
        <v>8.4298997595514107E-3</v>
      </c>
      <c r="BE4" s="3">
        <v>0</v>
      </c>
      <c r="BF4" s="3">
        <v>0</v>
      </c>
      <c r="BG4" s="3">
        <v>0</v>
      </c>
      <c r="BH4" s="3">
        <v>1.20494391775513E-2</v>
      </c>
      <c r="BI4" s="3">
        <v>1.13275852624395E-2</v>
      </c>
      <c r="BJ4" s="3">
        <v>1.27130579051232E-2</v>
      </c>
      <c r="BK4" s="3">
        <v>2.8105262660192799E-2</v>
      </c>
      <c r="BL4" s="3">
        <v>-2.2536959902529599E-3</v>
      </c>
      <c r="BM4" s="3">
        <v>2.3575603388005699E-3</v>
      </c>
      <c r="BN4" s="3">
        <v>2.5851566669939801E-2</v>
      </c>
      <c r="BO4" s="3">
        <v>3.0462822998993399E-2</v>
      </c>
      <c r="BP4" s="3">
        <v>1.26215527318991E-2</v>
      </c>
      <c r="BQ4" s="3">
        <v>1.12255093945881E-2</v>
      </c>
      <c r="BR4" s="3">
        <v>1.41988550653235E-2</v>
      </c>
      <c r="BS4" s="3">
        <v>0</v>
      </c>
      <c r="BT4" s="3">
        <v>0</v>
      </c>
      <c r="BU4" s="3">
        <v>0</v>
      </c>
      <c r="BV4" s="3">
        <v>3.4342707507423499E-3</v>
      </c>
      <c r="BW4" s="3">
        <v>2.81610201560873E-3</v>
      </c>
      <c r="BX4" s="3">
        <v>4.0524394858759798E-3</v>
      </c>
      <c r="BY4" s="3">
        <v>1.6055823482641399E-2</v>
      </c>
      <c r="BZ4" s="3">
        <v>1.40416114101969E-2</v>
      </c>
      <c r="CA4" s="3">
        <v>1.82512945511994E-2</v>
      </c>
      <c r="CB4">
        <v>1.0602157763094E-2</v>
      </c>
      <c r="CC4" s="3">
        <v>9.1950946354575E-3</v>
      </c>
      <c r="CD4">
        <v>0.83174075729947905</v>
      </c>
      <c r="CE4">
        <v>9380</v>
      </c>
      <c r="CF4">
        <v>2.5479744136460598E-2</v>
      </c>
      <c r="CG4" s="5">
        <v>5.9135514018691599E-3</v>
      </c>
      <c r="CH4" s="5">
        <v>1.07931769722815E-2</v>
      </c>
      <c r="CI4" s="13">
        <v>95.108932965258603</v>
      </c>
      <c r="CJ4" s="13">
        <v>88.454655554590701</v>
      </c>
      <c r="CK4" s="12">
        <v>102.62718616455901</v>
      </c>
      <c r="CL4" s="13">
        <v>95.108932965258603</v>
      </c>
      <c r="CM4" s="13">
        <v>88.454655554590701</v>
      </c>
      <c r="CN4">
        <v>102.62718616455901</v>
      </c>
      <c r="CO4">
        <v>38.855543238502797</v>
      </c>
      <c r="CP4">
        <v>35.097020330791402</v>
      </c>
      <c r="CQ4">
        <v>42.634804935813598</v>
      </c>
      <c r="CR4">
        <v>95.645590270305902</v>
      </c>
      <c r="CS4">
        <v>90.148801528004597</v>
      </c>
      <c r="CT4">
        <v>100.85392519221401</v>
      </c>
      <c r="CU4">
        <v>17.6729087826577</v>
      </c>
      <c r="CV4">
        <v>13.507861123096101</v>
      </c>
      <c r="CW4">
        <v>23.020383770234801</v>
      </c>
      <c r="CX4">
        <v>33.372114936345703</v>
      </c>
      <c r="CY4">
        <v>29.311477362649001</v>
      </c>
      <c r="CZ4">
        <v>37.495659264785601</v>
      </c>
      <c r="DA4">
        <v>9.0276572659873509</v>
      </c>
      <c r="DB4">
        <v>6.4483393598766403</v>
      </c>
      <c r="DC4">
        <v>11.889320511815701</v>
      </c>
      <c r="DD4">
        <v>8.8283210581650701E-2</v>
      </c>
      <c r="DE4">
        <v>3.6041486746464201E-2</v>
      </c>
      <c r="DF4">
        <v>0.30953670317783</v>
      </c>
      <c r="DG4">
        <v>0.70995479244509796</v>
      </c>
      <c r="DH4">
        <v>0.70995479244509796</v>
      </c>
      <c r="DI4">
        <v>0.29004520755490198</v>
      </c>
      <c r="DJ4">
        <v>0.57127414020481504</v>
      </c>
      <c r="DK4">
        <v>0.44908038500790598</v>
      </c>
      <c r="DL4">
        <v>57.433969839962899</v>
      </c>
      <c r="DM4">
        <v>2.1244740856250099</v>
      </c>
      <c r="DN4">
        <v>0.50815846388949104</v>
      </c>
      <c r="DO4">
        <v>1.06611193281389E-2</v>
      </c>
      <c r="DP4">
        <v>0.9</v>
      </c>
      <c r="DQ4">
        <v>17.326203208556102</v>
      </c>
      <c r="DR4">
        <v>8.3879361844294203E-2</v>
      </c>
      <c r="DS4">
        <v>-8.0194747035233105E-2</v>
      </c>
      <c r="DT4">
        <v>0</v>
      </c>
      <c r="DU4">
        <v>0</v>
      </c>
      <c r="DY4" s="5">
        <v>6.0000000000000001E-3</v>
      </c>
      <c r="DZ4" s="5">
        <v>6.7999999999999996E-3</v>
      </c>
      <c r="EA4" s="5">
        <v>5.1000000000000004E-3</v>
      </c>
      <c r="EB4">
        <v>35.521039999999999</v>
      </c>
      <c r="EE4">
        <v>60.160964</v>
      </c>
    </row>
    <row r="5" spans="1:137" x14ac:dyDescent="0.2">
      <c r="A5" t="s">
        <v>93</v>
      </c>
      <c r="B5">
        <v>27.9706576781909</v>
      </c>
      <c r="C5">
        <v>27.235759163978098</v>
      </c>
      <c r="D5">
        <v>28.7608863494102</v>
      </c>
      <c r="E5">
        <v>37.1063058731932</v>
      </c>
      <c r="F5">
        <v>33.87838010782</v>
      </c>
      <c r="G5">
        <v>40.490545966078301</v>
      </c>
      <c r="H5">
        <v>0</v>
      </c>
      <c r="I5">
        <v>0</v>
      </c>
      <c r="J5">
        <v>0</v>
      </c>
      <c r="K5">
        <v>65.076963551384196</v>
      </c>
      <c r="L5">
        <v>61.825950337941002</v>
      </c>
      <c r="M5">
        <v>68.604409085537995</v>
      </c>
      <c r="N5">
        <v>33.87838010782</v>
      </c>
      <c r="O5">
        <v>40.490545966078301</v>
      </c>
      <c r="P5">
        <v>45.081584334319103</v>
      </c>
      <c r="Q5" s="20">
        <v>41.453676426751798</v>
      </c>
      <c r="R5" s="20">
        <v>49.191028807252103</v>
      </c>
      <c r="S5" s="20">
        <v>0</v>
      </c>
      <c r="T5">
        <v>20.4353866558872</v>
      </c>
      <c r="U5" s="12">
        <v>130.59393454159101</v>
      </c>
      <c r="V5" s="6">
        <v>121.728036561172</v>
      </c>
      <c r="W5" s="6">
        <v>139.72156058501201</v>
      </c>
      <c r="X5" s="7">
        <v>1000</v>
      </c>
      <c r="Y5" s="21">
        <v>4.6598348594653498E-2</v>
      </c>
      <c r="Z5" s="21">
        <v>11.8134085</v>
      </c>
      <c r="AA5" s="8">
        <v>68.186999999999998</v>
      </c>
      <c r="AB5" s="7">
        <v>5950.4296949999998</v>
      </c>
      <c r="AC5" s="7">
        <v>19040</v>
      </c>
      <c r="AD5" s="7">
        <v>91907</v>
      </c>
      <c r="AE5" s="6">
        <v>1.82507693639206</v>
      </c>
      <c r="AF5">
        <v>416</v>
      </c>
      <c r="AG5">
        <v>360.58499999999998</v>
      </c>
      <c r="AH5">
        <v>296</v>
      </c>
      <c r="AI5">
        <v>124.71</v>
      </c>
      <c r="AJ5">
        <v>477</v>
      </c>
      <c r="AK5" s="4">
        <v>232</v>
      </c>
      <c r="AL5" s="4"/>
      <c r="AM5" s="4">
        <v>48.406044334078203</v>
      </c>
      <c r="AN5" s="6" t="s">
        <v>37</v>
      </c>
      <c r="AO5" s="11" t="s">
        <v>36</v>
      </c>
      <c r="AP5" s="12">
        <v>20230328</v>
      </c>
      <c r="AQ5" s="12">
        <v>50357</v>
      </c>
      <c r="AR5">
        <v>4.82716641104295</v>
      </c>
      <c r="AS5">
        <v>0.45514928471695798</v>
      </c>
      <c r="AT5">
        <v>2.1209205031847998E-2</v>
      </c>
      <c r="AU5" s="12">
        <v>1.4735691676161201E-3</v>
      </c>
      <c r="AV5" s="2">
        <v>0.70526178368123005</v>
      </c>
      <c r="AW5" s="2">
        <v>0.29473821631877001</v>
      </c>
      <c r="AX5" s="2">
        <v>0</v>
      </c>
      <c r="AY5" s="3">
        <v>4.7006114031889097E-3</v>
      </c>
      <c r="AZ5" s="3">
        <v>4.4292643081822198E-3</v>
      </c>
      <c r="BA5" s="3">
        <v>4.9923880909619502E-3</v>
      </c>
      <c r="BB5" s="3">
        <v>6.2359035859835101E-3</v>
      </c>
      <c r="BC5" s="3">
        <v>5.0440542865336797E-3</v>
      </c>
      <c r="BD5" s="3">
        <v>7.4854689344631704E-3</v>
      </c>
      <c r="BE5" s="3">
        <v>0</v>
      </c>
      <c r="BF5" s="3">
        <v>0</v>
      </c>
      <c r="BG5" s="3">
        <v>0</v>
      </c>
      <c r="BH5" s="3">
        <v>1.09365149891724E-2</v>
      </c>
      <c r="BI5" s="3">
        <v>1.03901656698661E-2</v>
      </c>
      <c r="BJ5" s="3">
        <v>1.1529320167110699E-2</v>
      </c>
      <c r="BK5" s="3">
        <v>2.1946975468229699E-2</v>
      </c>
      <c r="BL5" s="3">
        <v>-1.48995928611145E-3</v>
      </c>
      <c r="BM5" s="3">
        <v>1.53394401938596E-3</v>
      </c>
      <c r="BN5" s="3">
        <v>2.0457016182118301E-2</v>
      </c>
      <c r="BO5" s="3">
        <v>2.3480919487615701E-2</v>
      </c>
      <c r="BP5" s="3">
        <v>7.5761897283149297E-3</v>
      </c>
      <c r="BQ5" s="3">
        <v>6.9665013371360803E-3</v>
      </c>
      <c r="BR5" s="3">
        <v>8.2668027904919394E-3</v>
      </c>
      <c r="BS5" s="3">
        <v>0</v>
      </c>
      <c r="BT5" s="3">
        <v>0</v>
      </c>
      <c r="BU5" s="3">
        <v>0</v>
      </c>
      <c r="BV5" s="3">
        <v>3.4342707507423499E-3</v>
      </c>
      <c r="BW5" s="3">
        <v>2.81610201560873E-3</v>
      </c>
      <c r="BX5" s="3">
        <v>4.0524394858759798E-3</v>
      </c>
      <c r="BY5" s="3">
        <v>1.10104604790573E-2</v>
      </c>
      <c r="BZ5" s="3">
        <v>9.7826033527448099E-3</v>
      </c>
      <c r="CA5" s="3">
        <v>1.23192422763679E-2</v>
      </c>
      <c r="CB5">
        <v>8.2610163433087802E-3</v>
      </c>
      <c r="CC5" s="3">
        <v>7.1605735051730596E-3</v>
      </c>
      <c r="CD5">
        <v>0.804176927885354</v>
      </c>
      <c r="CE5">
        <v>10432</v>
      </c>
      <c r="CF5">
        <v>2.83742331288344E-2</v>
      </c>
      <c r="CG5" s="5">
        <v>6.5498949579831899E-3</v>
      </c>
      <c r="CH5" s="5">
        <v>1.1954562883435599E-2</v>
      </c>
      <c r="CI5" s="13">
        <v>82.187890207512396</v>
      </c>
      <c r="CJ5" s="13">
        <v>78.559982299945005</v>
      </c>
      <c r="CK5" s="12">
        <v>86.297334680445303</v>
      </c>
      <c r="CL5" s="13">
        <v>82.187890207512396</v>
      </c>
      <c r="CM5" s="13">
        <v>78.559982299945005</v>
      </c>
      <c r="CN5">
        <v>86.297334680445303</v>
      </c>
      <c r="CO5">
        <v>48.406044334078203</v>
      </c>
      <c r="CP5">
        <v>43.992776221805599</v>
      </c>
      <c r="CQ5">
        <v>52.874642603357103</v>
      </c>
      <c r="CR5">
        <v>82.806661072048698</v>
      </c>
      <c r="CS5">
        <v>75.697857549517707</v>
      </c>
      <c r="CT5">
        <v>90.314382527307401</v>
      </c>
      <c r="CU5">
        <v>12.903725462409099</v>
      </c>
      <c r="CV5">
        <v>11.5096954655174</v>
      </c>
      <c r="CW5">
        <v>14.693034820873899</v>
      </c>
      <c r="CX5">
        <v>25.1574512861289</v>
      </c>
      <c r="CY5">
        <v>22.226279612928899</v>
      </c>
      <c r="CZ5">
        <v>28.530746777057001</v>
      </c>
      <c r="DA5">
        <v>7.0204075857812001</v>
      </c>
      <c r="DB5">
        <v>5.5240476902132603</v>
      </c>
      <c r="DC5">
        <v>8.7435956277561804</v>
      </c>
      <c r="DD5">
        <v>0</v>
      </c>
      <c r="DE5">
        <v>0</v>
      </c>
      <c r="DF5">
        <v>0</v>
      </c>
      <c r="DG5">
        <v>0.62933818806559805</v>
      </c>
      <c r="DH5">
        <v>0.62933818806559805</v>
      </c>
      <c r="DI5">
        <v>0.37066181193440201</v>
      </c>
      <c r="DJ5">
        <v>0.50168380621361497</v>
      </c>
      <c r="DK5">
        <v>0.34520245964498097</v>
      </c>
      <c r="DL5">
        <v>65.076963551384196</v>
      </c>
      <c r="DM5">
        <v>1.87101643732723</v>
      </c>
      <c r="DN5">
        <v>0.57040161953604296</v>
      </c>
      <c r="DO5">
        <v>1.06611193281389E-2</v>
      </c>
      <c r="DP5">
        <v>0.9</v>
      </c>
      <c r="DQ5">
        <v>17.326203208556102</v>
      </c>
      <c r="DR5">
        <v>6.9895233146168703E-2</v>
      </c>
      <c r="DS5">
        <v>-6.7885611499149304E-2</v>
      </c>
      <c r="DT5">
        <v>0</v>
      </c>
      <c r="DU5">
        <v>0</v>
      </c>
      <c r="DY5" s="5">
        <v>6.0000000000000001E-3</v>
      </c>
      <c r="DZ5" s="5">
        <v>6.7999999999999996E-3</v>
      </c>
      <c r="EA5" s="5">
        <v>5.1000000000000004E-3</v>
      </c>
      <c r="EB5">
        <v>37.760185999999997</v>
      </c>
      <c r="EE5">
        <v>45.081583999999999</v>
      </c>
    </row>
    <row r="6" spans="1:137" x14ac:dyDescent="0.2">
      <c r="A6" t="s">
        <v>92</v>
      </c>
      <c r="B6">
        <v>30.311881352451</v>
      </c>
      <c r="C6">
        <v>29.522822651636201</v>
      </c>
      <c r="D6">
        <v>31.020659910783099</v>
      </c>
      <c r="E6">
        <v>35.308872496700502</v>
      </c>
      <c r="F6">
        <v>31.630299406180999</v>
      </c>
      <c r="G6">
        <v>38.9746850240792</v>
      </c>
      <c r="H6">
        <v>0</v>
      </c>
      <c r="I6">
        <v>0</v>
      </c>
      <c r="J6">
        <v>0</v>
      </c>
      <c r="K6">
        <v>65.620753849151498</v>
      </c>
      <c r="L6">
        <v>61.9024403669927</v>
      </c>
      <c r="M6">
        <v>69.343707526449407</v>
      </c>
      <c r="N6">
        <v>31.630299406180999</v>
      </c>
      <c r="O6">
        <v>38.9746850240792</v>
      </c>
      <c r="P6">
        <v>43.968884201598797</v>
      </c>
      <c r="Q6" s="20">
        <v>39.066203291422397</v>
      </c>
      <c r="R6" s="20">
        <v>49.177450416585899</v>
      </c>
      <c r="S6" s="20">
        <v>0</v>
      </c>
      <c r="T6">
        <v>21.388091567027899</v>
      </c>
      <c r="U6" s="12">
        <v>130.97772961777801</v>
      </c>
      <c r="V6" s="6">
        <v>121.079669568838</v>
      </c>
      <c r="W6" s="6">
        <v>141.31724366735901</v>
      </c>
      <c r="X6" s="7">
        <v>1000</v>
      </c>
      <c r="Y6" s="21">
        <v>5.6701480279396699E-2</v>
      </c>
      <c r="Z6" s="21">
        <v>23.348039</v>
      </c>
      <c r="AA6" s="8">
        <v>77.864999999999995</v>
      </c>
      <c r="AB6" s="7">
        <v>6227.8408195989296</v>
      </c>
      <c r="AC6" s="7">
        <v>19670</v>
      </c>
      <c r="AD6" s="7">
        <v>94306</v>
      </c>
      <c r="AE6" s="6">
        <v>1.82507693639206</v>
      </c>
      <c r="AF6">
        <v>334</v>
      </c>
      <c r="AG6">
        <v>275.14999999999998</v>
      </c>
      <c r="AH6">
        <v>232</v>
      </c>
      <c r="AI6">
        <v>92.784999999999997</v>
      </c>
      <c r="AJ6">
        <v>368</v>
      </c>
      <c r="AK6" s="4">
        <v>179</v>
      </c>
      <c r="AL6" s="4"/>
      <c r="AM6" s="4">
        <v>51.699972919478903</v>
      </c>
      <c r="AN6" s="6" t="s">
        <v>37</v>
      </c>
      <c r="AO6" s="11" t="s">
        <v>36</v>
      </c>
      <c r="AP6" s="12">
        <v>20230328</v>
      </c>
      <c r="AQ6" s="12">
        <v>51672</v>
      </c>
      <c r="AR6">
        <v>4.7946552844019701</v>
      </c>
      <c r="AS6">
        <v>0.45668979343236699</v>
      </c>
      <c r="AT6">
        <v>2.58949873161071E-2</v>
      </c>
      <c r="AU6" s="12">
        <v>1.7930582438601399E-3</v>
      </c>
      <c r="AV6" s="2">
        <v>0.70390981137790598</v>
      </c>
      <c r="AW6" s="2">
        <v>0.29609018862209502</v>
      </c>
      <c r="AX6" s="2">
        <v>0</v>
      </c>
      <c r="AY6" s="3">
        <v>4.8671573713091601E-3</v>
      </c>
      <c r="AZ6" s="3">
        <v>4.58972923543446E-3</v>
      </c>
      <c r="BA6" s="3">
        <v>5.1163595079600404E-3</v>
      </c>
      <c r="BB6" s="3">
        <v>5.66952070861927E-3</v>
      </c>
      <c r="BC6" s="3">
        <v>4.3761572692099697E-3</v>
      </c>
      <c r="BD6" s="3">
        <v>6.9583976133243304E-3</v>
      </c>
      <c r="BE6" s="3">
        <v>0</v>
      </c>
      <c r="BF6" s="3">
        <v>0</v>
      </c>
      <c r="BG6" s="3">
        <v>0</v>
      </c>
      <c r="BH6" s="3">
        <v>1.05366780799284E-2</v>
      </c>
      <c r="BI6" s="3">
        <v>9.9396311113454493E-3</v>
      </c>
      <c r="BJ6" s="3">
        <v>1.1134470121366201E-2</v>
      </c>
      <c r="BK6" s="3">
        <v>2.10310014998446E-2</v>
      </c>
      <c r="BL6" s="3">
        <v>-1.5893245083899699E-3</v>
      </c>
      <c r="BM6" s="3">
        <v>1.66020846535493E-3</v>
      </c>
      <c r="BN6" s="3">
        <v>1.94416769914546E-2</v>
      </c>
      <c r="BO6" s="3">
        <v>2.2691209965199501E-2</v>
      </c>
      <c r="BP6" s="3">
        <v>7.0600526691737796E-3</v>
      </c>
      <c r="BQ6" s="3">
        <v>6.2728326595120404E-3</v>
      </c>
      <c r="BR6" s="3">
        <v>7.8963884660996908E-3</v>
      </c>
      <c r="BS6" s="3">
        <v>0</v>
      </c>
      <c r="BT6" s="3">
        <v>0</v>
      </c>
      <c r="BU6" s="3">
        <v>0</v>
      </c>
      <c r="BV6" s="3">
        <v>3.4342707507423499E-3</v>
      </c>
      <c r="BW6" s="3">
        <v>2.81610201560873E-3</v>
      </c>
      <c r="BX6" s="3">
        <v>4.0524394858759798E-3</v>
      </c>
      <c r="BY6" s="3">
        <v>1.04943234199161E-2</v>
      </c>
      <c r="BZ6" s="3">
        <v>9.0889346751207804E-3</v>
      </c>
      <c r="CA6" s="3">
        <v>1.19488279519757E-2</v>
      </c>
      <c r="CB6">
        <v>6.4638488930174997E-3</v>
      </c>
      <c r="CC6" s="3">
        <v>5.3249342003406103E-3</v>
      </c>
      <c r="CD6">
        <v>0.82560542688622596</v>
      </c>
      <c r="CE6">
        <v>10777</v>
      </c>
      <c r="CF6">
        <v>2.1527326714299001E-2</v>
      </c>
      <c r="CG6" s="5">
        <v>4.7170818505338098E-3</v>
      </c>
      <c r="CH6" s="5">
        <v>8.6095388326992706E-3</v>
      </c>
      <c r="CI6" s="13">
        <v>79.277756698299299</v>
      </c>
      <c r="CJ6" s="13">
        <v>74.375075788122899</v>
      </c>
      <c r="CK6" s="12">
        <v>84.486322913286401</v>
      </c>
      <c r="CL6" s="13">
        <v>79.277756698299299</v>
      </c>
      <c r="CM6" s="13">
        <v>74.375075788122899</v>
      </c>
      <c r="CN6">
        <v>84.486322913286401</v>
      </c>
      <c r="CO6">
        <v>51.699972919478903</v>
      </c>
      <c r="CP6">
        <v>47.061057736599103</v>
      </c>
      <c r="CQ6">
        <v>56.258607959876002</v>
      </c>
      <c r="CR6">
        <v>79.887013723005197</v>
      </c>
      <c r="CS6">
        <v>71.821563029673399</v>
      </c>
      <c r="CT6">
        <v>87.991378909638001</v>
      </c>
      <c r="CU6">
        <v>6.8527874206914898</v>
      </c>
      <c r="CV6">
        <v>6.03779725388502</v>
      </c>
      <c r="CW6">
        <v>7.6694456389691403</v>
      </c>
      <c r="CX6">
        <v>27.253138020562499</v>
      </c>
      <c r="CY6">
        <v>23.3859492974387</v>
      </c>
      <c r="CZ6">
        <v>31.5380871880344</v>
      </c>
      <c r="DA6">
        <v>9.8629587603447995</v>
      </c>
      <c r="DB6">
        <v>7.3800636522848597</v>
      </c>
      <c r="DC6">
        <v>12.8068624744694</v>
      </c>
      <c r="DD6">
        <v>0</v>
      </c>
      <c r="DE6">
        <v>0</v>
      </c>
      <c r="DF6">
        <v>0</v>
      </c>
      <c r="DG6">
        <v>0.60527477297821697</v>
      </c>
      <c r="DH6">
        <v>0.60527477297821697</v>
      </c>
      <c r="DI6">
        <v>0.39472522702178398</v>
      </c>
      <c r="DJ6">
        <v>0.49899150289261102</v>
      </c>
      <c r="DK6">
        <v>0.335694763620835</v>
      </c>
      <c r="DL6">
        <v>65.620753849151498</v>
      </c>
      <c r="DM6">
        <v>1.7873164626015901</v>
      </c>
      <c r="DN6">
        <v>0.57788260365583499</v>
      </c>
      <c r="DO6">
        <v>1.06611193281389E-2</v>
      </c>
      <c r="DP6">
        <v>0.9</v>
      </c>
      <c r="DQ6">
        <v>17.326203208556102</v>
      </c>
      <c r="DR6">
        <v>7.8945315783161302E-2</v>
      </c>
      <c r="DS6">
        <v>-7.5576803103084594E-2</v>
      </c>
      <c r="DT6">
        <v>0</v>
      </c>
      <c r="DU6">
        <v>0</v>
      </c>
      <c r="DY6" s="5">
        <v>6.0000000000000001E-3</v>
      </c>
      <c r="DZ6" s="5">
        <v>6.7999999999999996E-3</v>
      </c>
      <c r="EA6" s="5">
        <v>5.1000000000000004E-3</v>
      </c>
      <c r="EB6">
        <v>36.012900999999999</v>
      </c>
      <c r="EE6">
        <v>43.968884000000003</v>
      </c>
    </row>
    <row r="7" spans="1:137" x14ac:dyDescent="0.2">
      <c r="A7" t="s">
        <v>94</v>
      </c>
      <c r="B7">
        <v>2.5759400658653502</v>
      </c>
      <c r="C7">
        <v>2.4579688655912801</v>
      </c>
      <c r="D7">
        <v>2.6996032900660598</v>
      </c>
      <c r="E7">
        <v>2.37463845356895</v>
      </c>
      <c r="F7">
        <v>1.58598062015604</v>
      </c>
      <c r="G7">
        <v>3.2118143380143902</v>
      </c>
      <c r="H7">
        <v>0</v>
      </c>
      <c r="I7">
        <v>0</v>
      </c>
      <c r="J7">
        <v>0</v>
      </c>
      <c r="K7">
        <v>4.9505785194343099</v>
      </c>
      <c r="L7">
        <v>4.1643476915591302</v>
      </c>
      <c r="M7">
        <v>5.81563824836301</v>
      </c>
      <c r="N7">
        <v>1.58598062015604</v>
      </c>
      <c r="O7">
        <v>3.2118143380143902</v>
      </c>
      <c r="P7">
        <v>4.7719795515362504</v>
      </c>
      <c r="Q7" s="20">
        <v>3.7142929113647298</v>
      </c>
      <c r="R7" s="20">
        <v>6.1650359327231001</v>
      </c>
      <c r="S7" s="20">
        <v>0</v>
      </c>
      <c r="T7">
        <v>1.1897865990230101</v>
      </c>
      <c r="U7" s="12">
        <v>10.912344669993599</v>
      </c>
      <c r="V7" s="6">
        <v>9.3412725063810491</v>
      </c>
      <c r="W7" s="6">
        <v>12.7098854515796</v>
      </c>
      <c r="X7" s="7">
        <v>1000</v>
      </c>
      <c r="Y7" s="21">
        <v>9.8709591306135394E-2</v>
      </c>
      <c r="Z7" s="21">
        <v>9</v>
      </c>
      <c r="AA7" s="8">
        <v>40.414999999999999</v>
      </c>
      <c r="AB7" s="7">
        <v>264.97395591978602</v>
      </c>
      <c r="AC7" s="7">
        <v>41547</v>
      </c>
      <c r="AD7" s="7">
        <v>81234</v>
      </c>
      <c r="AE7" s="6">
        <v>1.7471737405793999</v>
      </c>
      <c r="AF7">
        <v>77</v>
      </c>
      <c r="AG7">
        <v>69.132000000000005</v>
      </c>
      <c r="AH7">
        <v>40</v>
      </c>
      <c r="AI7">
        <v>15.074</v>
      </c>
      <c r="AJ7">
        <v>48</v>
      </c>
      <c r="AK7" s="4">
        <v>36</v>
      </c>
      <c r="AL7" s="4"/>
      <c r="AM7" s="4">
        <v>3.7657266648883598</v>
      </c>
      <c r="AN7" s="6" t="s">
        <v>37</v>
      </c>
      <c r="AO7" s="11" t="s">
        <v>36</v>
      </c>
      <c r="AP7" s="12">
        <v>20230328</v>
      </c>
      <c r="AQ7" s="12">
        <v>46494</v>
      </c>
      <c r="AR7">
        <v>1.9552546364439201</v>
      </c>
      <c r="AS7">
        <v>0.71515196751850496</v>
      </c>
      <c r="AT7">
        <v>7.0592358435530203E-2</v>
      </c>
      <c r="AU7" s="12">
        <v>3.1214713543174298E-3</v>
      </c>
      <c r="AV7" s="2">
        <v>0.75007170727446604</v>
      </c>
      <c r="AW7" s="2">
        <v>0.24992829272553499</v>
      </c>
      <c r="AX7" s="2">
        <v>0</v>
      </c>
      <c r="AY7" s="3">
        <v>9.72148397348588E-3</v>
      </c>
      <c r="AZ7" s="3">
        <v>9.0989336391352395E-3</v>
      </c>
      <c r="BA7" s="3">
        <v>1.03740719050672E-2</v>
      </c>
      <c r="BB7" s="3">
        <v>8.9617805845334207E-3</v>
      </c>
      <c r="BC7" s="3">
        <v>4.7999241590770602E-3</v>
      </c>
      <c r="BD7" s="3">
        <v>1.33796734733145E-2</v>
      </c>
      <c r="BE7" s="3">
        <v>0</v>
      </c>
      <c r="BF7" s="3">
        <v>0</v>
      </c>
      <c r="BG7" s="3">
        <v>0</v>
      </c>
      <c r="BH7" s="3">
        <v>1.8683264558019299E-2</v>
      </c>
      <c r="BI7" s="3">
        <v>1.57160641584706E-2</v>
      </c>
      <c r="BJ7" s="3">
        <v>2.1947961746563299E-2</v>
      </c>
      <c r="BK7" s="3">
        <v>4.1182706549835399E-2</v>
      </c>
      <c r="BL7" s="3">
        <v>-5.9291569171730698E-3</v>
      </c>
      <c r="BM7" s="3">
        <v>6.7838394733791604E-3</v>
      </c>
      <c r="BN7" s="3">
        <v>3.52535496326623E-2</v>
      </c>
      <c r="BO7" s="3">
        <v>4.7966546023214499E-2</v>
      </c>
      <c r="BP7" s="3">
        <v>1.8009239945758398E-2</v>
      </c>
      <c r="BQ7" s="3">
        <v>1.40175773066887E-2</v>
      </c>
      <c r="BR7" s="3">
        <v>2.3266573166871501E-2</v>
      </c>
      <c r="BS7" s="3">
        <v>0</v>
      </c>
      <c r="BT7" s="3">
        <v>0</v>
      </c>
      <c r="BU7" s="3">
        <v>0</v>
      </c>
      <c r="BV7" s="3">
        <v>4.4902020460576304E-3</v>
      </c>
      <c r="BW7" s="3">
        <v>3.68196567776725E-3</v>
      </c>
      <c r="BX7" s="3">
        <v>5.2984384143480003E-3</v>
      </c>
      <c r="BY7" s="3">
        <v>2.24994419918161E-2</v>
      </c>
      <c r="BZ7" s="3">
        <v>1.7699542984456001E-2</v>
      </c>
      <c r="CA7" s="3">
        <v>2.8565011581219501E-2</v>
      </c>
      <c r="CB7">
        <v>1.6561276723878399E-3</v>
      </c>
      <c r="CC7" s="3">
        <v>1.4869015356820199E-3</v>
      </c>
      <c r="CD7">
        <v>0.98852887440684101</v>
      </c>
      <c r="CE7">
        <v>23779</v>
      </c>
      <c r="CF7">
        <v>1.6821565246646201E-3</v>
      </c>
      <c r="CG7" s="5">
        <v>3.6281801333429601E-4</v>
      </c>
      <c r="CH7" s="5">
        <v>6.33920686319862E-4</v>
      </c>
      <c r="CI7" s="13">
        <v>7.1466180051052</v>
      </c>
      <c r="CJ7" s="13">
        <v>6.0889313649336803</v>
      </c>
      <c r="CK7" s="12">
        <v>8.5396743862920506</v>
      </c>
      <c r="CL7" s="13">
        <v>7.1466180051052</v>
      </c>
      <c r="CM7" s="13">
        <v>6.0889313649336803</v>
      </c>
      <c r="CN7">
        <v>8.5396743862920506</v>
      </c>
      <c r="CO7">
        <v>3.7657266648883598</v>
      </c>
      <c r="CP7">
        <v>3.4335938767901402</v>
      </c>
      <c r="CQ7">
        <v>4.1035514769132098</v>
      </c>
      <c r="CR7">
        <v>7.1678570431895396</v>
      </c>
      <c r="CS7">
        <v>6.0722207461904301</v>
      </c>
      <c r="CT7">
        <v>8.3426882490236594</v>
      </c>
      <c r="CU7">
        <v>1.88011357715516</v>
      </c>
      <c r="CV7">
        <v>1.28984680363987</v>
      </c>
      <c r="CW7">
        <v>2.4821492410045201</v>
      </c>
      <c r="CX7">
        <v>0</v>
      </c>
      <c r="CY7">
        <v>0</v>
      </c>
      <c r="CZ7">
        <v>0</v>
      </c>
      <c r="DA7">
        <v>0.76830900610477204</v>
      </c>
      <c r="DB7">
        <v>0.52142333097980798</v>
      </c>
      <c r="DC7">
        <v>1.0600763311177399</v>
      </c>
      <c r="DD7">
        <v>1.80204354355658</v>
      </c>
      <c r="DE7">
        <v>1.0162877715457499</v>
      </c>
      <c r="DF7">
        <v>3.05794900089959</v>
      </c>
      <c r="DG7">
        <v>0.65490953461773505</v>
      </c>
      <c r="DH7">
        <v>0.65490953461773505</v>
      </c>
      <c r="DI7">
        <v>0.34509046538226401</v>
      </c>
      <c r="DJ7">
        <v>0.54633457691552301</v>
      </c>
      <c r="DK7">
        <v>0.43730235887830299</v>
      </c>
      <c r="DL7">
        <v>4.9505785194343099</v>
      </c>
      <c r="DM7">
        <v>1.8998225307422201</v>
      </c>
      <c r="DN7">
        <v>1.11431917204166E-2</v>
      </c>
      <c r="DO7">
        <v>5.7351807411049602E-2</v>
      </c>
      <c r="DP7">
        <v>0.9</v>
      </c>
      <c r="DQ7">
        <v>17.326203208556102</v>
      </c>
      <c r="DR7">
        <v>0.16471306211505601</v>
      </c>
      <c r="DS7">
        <v>-0.143963705578419</v>
      </c>
      <c r="DT7">
        <v>0</v>
      </c>
      <c r="DU7">
        <v>0</v>
      </c>
      <c r="DY7" s="5">
        <v>5.1200000000000002E-2</v>
      </c>
      <c r="DZ7" s="5">
        <v>5.2299999999999999E-2</v>
      </c>
      <c r="EA7" s="5">
        <v>5.0099999999999999E-2</v>
      </c>
      <c r="EB7">
        <v>2.4011589999999998</v>
      </c>
      <c r="EE7">
        <v>4.7719800000000001</v>
      </c>
    </row>
    <row r="8" spans="1:137" x14ac:dyDescent="0.2">
      <c r="A8" t="s">
        <v>95</v>
      </c>
      <c r="B8">
        <v>2.67038824288006</v>
      </c>
      <c r="C8">
        <v>2.5766782906135401</v>
      </c>
      <c r="D8">
        <v>2.7519744000554902</v>
      </c>
      <c r="E8">
        <v>4.4668886916671102</v>
      </c>
      <c r="F8">
        <v>3.72411942397826</v>
      </c>
      <c r="G8">
        <v>5.2793177135742901</v>
      </c>
      <c r="H8">
        <v>0</v>
      </c>
      <c r="I8">
        <v>0</v>
      </c>
      <c r="J8">
        <v>0</v>
      </c>
      <c r="K8">
        <v>7.1372769345471703</v>
      </c>
      <c r="L8">
        <v>6.39125224754659</v>
      </c>
      <c r="M8">
        <v>7.9535314998408397</v>
      </c>
      <c r="N8">
        <v>3.72411942397826</v>
      </c>
      <c r="O8">
        <v>5.2793177135742901</v>
      </c>
      <c r="P8">
        <v>7.44478581459264</v>
      </c>
      <c r="Q8" s="20">
        <v>6.2324804437325696</v>
      </c>
      <c r="R8" s="20">
        <v>8.9789546856623392</v>
      </c>
      <c r="S8" s="20">
        <v>0</v>
      </c>
      <c r="T8">
        <v>1.2427774853092</v>
      </c>
      <c r="U8" s="12">
        <v>15.824840234449001</v>
      </c>
      <c r="V8" s="6">
        <v>14.0931177193749</v>
      </c>
      <c r="W8" s="6">
        <v>17.838027443674601</v>
      </c>
      <c r="X8" s="7">
        <v>1000</v>
      </c>
      <c r="Y8" s="21">
        <v>0.119245726869894</v>
      </c>
      <c r="Z8" s="21">
        <v>11</v>
      </c>
      <c r="AA8" s="8">
        <v>40.99</v>
      </c>
      <c r="AB8" s="7">
        <v>284.66581394117702</v>
      </c>
      <c r="AC8" s="7">
        <v>40365</v>
      </c>
      <c r="AD8" s="7">
        <v>192459</v>
      </c>
      <c r="AE8" s="6">
        <v>1.7471737405793999</v>
      </c>
      <c r="AF8">
        <v>86</v>
      </c>
      <c r="AG8">
        <v>80.173000000000002</v>
      </c>
      <c r="AH8">
        <v>54</v>
      </c>
      <c r="AI8">
        <v>15.945</v>
      </c>
      <c r="AJ8">
        <v>144</v>
      </c>
      <c r="AK8" s="4">
        <v>89</v>
      </c>
      <c r="AL8" s="4"/>
      <c r="AM8" s="4">
        <v>3.9131657281892598</v>
      </c>
      <c r="AN8" s="6" t="s">
        <v>37</v>
      </c>
      <c r="AO8" s="11" t="s">
        <v>36</v>
      </c>
      <c r="AP8" s="12">
        <v>20230328</v>
      </c>
      <c r="AQ8" s="12">
        <v>110154</v>
      </c>
      <c r="AR8">
        <v>4.7679522139981803</v>
      </c>
      <c r="AS8">
        <v>0.45796686083536697</v>
      </c>
      <c r="AT8">
        <v>5.46105912026369E-2</v>
      </c>
      <c r="AU8" s="12">
        <v>3.7708809815120599E-3</v>
      </c>
      <c r="AV8" s="2">
        <v>0.34370241750226199</v>
      </c>
      <c r="AW8" s="2">
        <v>0.65629758249773695</v>
      </c>
      <c r="AX8" s="2">
        <v>0</v>
      </c>
      <c r="AY8" s="3">
        <v>9.3807830519188097E-3</v>
      </c>
      <c r="AZ8" s="3">
        <v>8.6619693471609097E-3</v>
      </c>
      <c r="BA8" s="3">
        <v>1.0006599696552701E-2</v>
      </c>
      <c r="BB8" s="3">
        <v>1.5691693462672501E-2</v>
      </c>
      <c r="BC8" s="3">
        <v>9.9941905168889206E-3</v>
      </c>
      <c r="BD8" s="3">
        <v>2.19235301135869E-2</v>
      </c>
      <c r="BE8" s="3">
        <v>0</v>
      </c>
      <c r="BF8" s="3">
        <v>0</v>
      </c>
      <c r="BG8" s="3">
        <v>0</v>
      </c>
      <c r="BH8" s="3">
        <v>2.50724765145913E-2</v>
      </c>
      <c r="BI8" s="3">
        <v>2.2451773042432399E-2</v>
      </c>
      <c r="BJ8" s="3">
        <v>2.7939889900107099E-2</v>
      </c>
      <c r="BK8" s="3">
        <v>5.5590940181243803E-2</v>
      </c>
      <c r="BL8" s="3">
        <v>-6.0833525849083398E-3</v>
      </c>
      <c r="BM8" s="3">
        <v>7.0721073997371603E-3</v>
      </c>
      <c r="BN8" s="3">
        <v>4.9507587596335403E-2</v>
      </c>
      <c r="BO8" s="3">
        <v>6.2663047580980902E-2</v>
      </c>
      <c r="BP8" s="3">
        <v>2.61527217178633E-2</v>
      </c>
      <c r="BQ8" s="3">
        <v>2.1894024988263799E-2</v>
      </c>
      <c r="BR8" s="3">
        <v>3.1542089867938099E-2</v>
      </c>
      <c r="BS8" s="3">
        <v>0</v>
      </c>
      <c r="BT8" s="3">
        <v>0</v>
      </c>
      <c r="BU8" s="3">
        <v>0</v>
      </c>
      <c r="BV8" s="3">
        <v>4.3657419487891404E-3</v>
      </c>
      <c r="BW8" s="3">
        <v>3.5799083980071001E-3</v>
      </c>
      <c r="BX8" s="3">
        <v>5.1515754995711902E-3</v>
      </c>
      <c r="BY8" s="3">
        <v>3.0518463666652399E-2</v>
      </c>
      <c r="BZ8" s="3">
        <v>2.5473933386270901E-2</v>
      </c>
      <c r="CA8" s="3">
        <v>3.6693665367509301E-2</v>
      </c>
      <c r="CB8">
        <v>7.8072516658496296E-4</v>
      </c>
      <c r="CC8" s="3">
        <v>7.2782649744902598E-4</v>
      </c>
      <c r="CD8">
        <v>0.98053414891832102</v>
      </c>
      <c r="CE8">
        <v>23103</v>
      </c>
      <c r="CF8">
        <v>2.33735878457343E-3</v>
      </c>
      <c r="CG8" s="5">
        <v>3.9502043849869899E-4</v>
      </c>
      <c r="CH8" s="5">
        <v>6.9017010777821098E-4</v>
      </c>
      <c r="CI8" s="13">
        <v>11.9116745062598</v>
      </c>
      <c r="CJ8" s="13">
        <v>10.699369135399699</v>
      </c>
      <c r="CK8" s="12">
        <v>13.4458433773294</v>
      </c>
      <c r="CL8" s="13">
        <v>11.9116745062598</v>
      </c>
      <c r="CM8" s="13">
        <v>10.699369135399699</v>
      </c>
      <c r="CN8">
        <v>13.4458433773294</v>
      </c>
      <c r="CO8">
        <v>3.9131657281892598</v>
      </c>
      <c r="CP8">
        <v>3.5957558285670901</v>
      </c>
      <c r="CQ8">
        <v>4.2184518327203504</v>
      </c>
      <c r="CR8">
        <v>11.914753727551</v>
      </c>
      <c r="CS8">
        <v>10.2944056242256</v>
      </c>
      <c r="CT8">
        <v>13.6773683759417</v>
      </c>
      <c r="CU8">
        <v>2.4029565361942602</v>
      </c>
      <c r="CV8">
        <v>1.76428310107748</v>
      </c>
      <c r="CW8">
        <v>3.2514504490127298</v>
      </c>
      <c r="CX8">
        <v>0</v>
      </c>
      <c r="CY8">
        <v>0</v>
      </c>
      <c r="CZ8">
        <v>0</v>
      </c>
      <c r="DA8">
        <v>0.138455710456029</v>
      </c>
      <c r="DB8">
        <v>7.5047583373751101E-2</v>
      </c>
      <c r="DC8">
        <v>0.448793362887284</v>
      </c>
      <c r="DD8">
        <v>4.25903122943601</v>
      </c>
      <c r="DE8">
        <v>3.30913767946284</v>
      </c>
      <c r="DF8">
        <v>5.6232243854530104</v>
      </c>
      <c r="DG8">
        <v>0.75271877104399798</v>
      </c>
      <c r="DH8">
        <v>0.75271877104399798</v>
      </c>
      <c r="DI8">
        <v>0.24728122895600199</v>
      </c>
      <c r="DJ8">
        <v>0.54898165788483</v>
      </c>
      <c r="DK8">
        <v>0.47044780999379598</v>
      </c>
      <c r="DL8">
        <v>7.1372769345471703</v>
      </c>
      <c r="DM8">
        <v>2.62073251918962</v>
      </c>
      <c r="DN8">
        <v>1.2321595201539901E-2</v>
      </c>
      <c r="DO8">
        <v>5.4455461287783197E-2</v>
      </c>
      <c r="DP8">
        <v>0.9</v>
      </c>
      <c r="DQ8">
        <v>17.326203208556102</v>
      </c>
      <c r="DR8">
        <v>0.12720406856347999</v>
      </c>
      <c r="DS8">
        <v>-0.109434453064041</v>
      </c>
      <c r="DT8">
        <v>0</v>
      </c>
      <c r="DU8">
        <v>0</v>
      </c>
      <c r="DY8" s="5">
        <v>4.8500000000000001E-2</v>
      </c>
      <c r="DZ8" s="5">
        <v>4.9599999999999998E-2</v>
      </c>
      <c r="EA8" s="5">
        <v>4.7399999999999998E-2</v>
      </c>
      <c r="EB8">
        <v>4.4749220000000003</v>
      </c>
      <c r="EE8">
        <v>7.4447859999999997</v>
      </c>
    </row>
    <row r="9" spans="1:137" x14ac:dyDescent="0.2">
      <c r="A9" t="s">
        <v>97</v>
      </c>
      <c r="B9">
        <v>1.81376316477518</v>
      </c>
      <c r="C9">
        <v>1.7684534798237199</v>
      </c>
      <c r="D9">
        <v>1.87016914629091</v>
      </c>
      <c r="E9">
        <v>3.8353496594332102</v>
      </c>
      <c r="F9">
        <v>3.1684788177484502</v>
      </c>
      <c r="G9">
        <v>4.64568401925355</v>
      </c>
      <c r="H9">
        <v>0</v>
      </c>
      <c r="I9">
        <v>0</v>
      </c>
      <c r="J9">
        <v>0</v>
      </c>
      <c r="K9">
        <v>5.6491128242083901</v>
      </c>
      <c r="L9">
        <v>4.9786474454859997</v>
      </c>
      <c r="M9">
        <v>6.4578100011237298</v>
      </c>
      <c r="N9">
        <v>3.1684788177484502</v>
      </c>
      <c r="O9">
        <v>4.64568401925355</v>
      </c>
      <c r="P9">
        <v>4.1889557431553701</v>
      </c>
      <c r="Q9" s="20">
        <v>3.5147838181794602</v>
      </c>
      <c r="R9" s="20">
        <v>5.1391793110416204</v>
      </c>
      <c r="S9" s="20">
        <v>0</v>
      </c>
      <c r="T9">
        <v>0.87037444810168496</v>
      </c>
      <c r="U9" s="12">
        <v>10.7084430154654</v>
      </c>
      <c r="V9" s="6">
        <v>9.55660912366295</v>
      </c>
      <c r="W9" s="6">
        <v>12.0774504573049</v>
      </c>
      <c r="X9" s="7">
        <v>1000</v>
      </c>
      <c r="Y9" s="21">
        <v>0.14962665851669699</v>
      </c>
      <c r="Z9" s="21">
        <v>23.632191899999999</v>
      </c>
      <c r="AA9" s="8">
        <v>36.556643837999999</v>
      </c>
      <c r="AB9" s="7">
        <v>231.42088684492001</v>
      </c>
      <c r="AC9" s="7">
        <v>31919</v>
      </c>
      <c r="AD9" s="7">
        <v>238393</v>
      </c>
      <c r="AE9" s="6">
        <v>1.99587797622094</v>
      </c>
      <c r="AF9">
        <v>94</v>
      </c>
      <c r="AG9">
        <v>90.462000000000003</v>
      </c>
      <c r="AH9">
        <v>39</v>
      </c>
      <c r="AI9">
        <v>13.337</v>
      </c>
      <c r="AJ9">
        <v>151</v>
      </c>
      <c r="AK9" s="4">
        <v>65</v>
      </c>
      <c r="AL9" s="4"/>
      <c r="AM9" s="4">
        <v>2.6841376128768699</v>
      </c>
      <c r="AN9" s="6" t="s">
        <v>37</v>
      </c>
      <c r="AO9" s="11" t="s">
        <v>36</v>
      </c>
      <c r="AP9" s="12">
        <v>20230328</v>
      </c>
      <c r="AQ9" s="12">
        <v>119442</v>
      </c>
      <c r="AR9">
        <v>7.4688594297148603</v>
      </c>
      <c r="AS9">
        <v>0.36590880241805002</v>
      </c>
      <c r="AT9">
        <v>5.4749711427658998E-2</v>
      </c>
      <c r="AU9" s="12">
        <v>4.7316103959299301E-3</v>
      </c>
      <c r="AV9" s="2">
        <v>0.25471912132991698</v>
      </c>
      <c r="AW9" s="2">
        <v>0.74528087867008497</v>
      </c>
      <c r="AX9" s="2">
        <v>0</v>
      </c>
      <c r="AY9" s="3">
        <v>7.8375084872551997E-3</v>
      </c>
      <c r="AZ9" s="3">
        <v>7.3024322901875296E-3</v>
      </c>
      <c r="BA9" s="3">
        <v>8.50362431025504E-3</v>
      </c>
      <c r="BB9" s="3">
        <v>1.6573048836354E-2</v>
      </c>
      <c r="BC9" s="3">
        <v>8.6977631378049296E-3</v>
      </c>
      <c r="BD9" s="3">
        <v>2.61425399522256E-2</v>
      </c>
      <c r="BE9" s="3">
        <v>0</v>
      </c>
      <c r="BF9" s="3">
        <v>0</v>
      </c>
      <c r="BG9" s="3">
        <v>0</v>
      </c>
      <c r="BH9" s="3">
        <v>2.4410557323609201E-2</v>
      </c>
      <c r="BI9" s="3">
        <v>2.1513388499035099E-2</v>
      </c>
      <c r="BJ9" s="3">
        <v>2.7905043875539399E-2</v>
      </c>
      <c r="BK9" s="3">
        <v>4.6272586547649902E-2</v>
      </c>
      <c r="BL9" s="3">
        <v>-4.97722529502865E-3</v>
      </c>
      <c r="BM9" s="3">
        <v>5.91566068432207E-3</v>
      </c>
      <c r="BN9" s="3">
        <v>4.1295361252621197E-2</v>
      </c>
      <c r="BO9" s="3">
        <v>5.2188247231971997E-2</v>
      </c>
      <c r="BP9" s="3">
        <v>1.81010270951147E-2</v>
      </c>
      <c r="BQ9" s="3">
        <v>1.51878417981122E-2</v>
      </c>
      <c r="BR9" s="3">
        <v>2.2207067741839101E-2</v>
      </c>
      <c r="BS9" s="3">
        <v>0</v>
      </c>
      <c r="BT9" s="3">
        <v>0</v>
      </c>
      <c r="BU9" s="3">
        <v>0</v>
      </c>
      <c r="BV9" s="3">
        <v>3.7610021289259899E-3</v>
      </c>
      <c r="BW9" s="3">
        <v>3.0840217457193098E-3</v>
      </c>
      <c r="BX9" s="3">
        <v>4.4379825121326696E-3</v>
      </c>
      <c r="BY9" s="3">
        <v>2.1862029224040701E-2</v>
      </c>
      <c r="BZ9" s="3">
        <v>1.82718635438315E-2</v>
      </c>
      <c r="CA9" s="3">
        <v>2.6645050253971798E-2</v>
      </c>
      <c r="CB9">
        <v>7.8699285008623397E-4</v>
      </c>
      <c r="CC9" s="3">
        <v>7.57371778771287E-4</v>
      </c>
      <c r="CD9">
        <v>0.98361070071780798</v>
      </c>
      <c r="CE9">
        <v>15992</v>
      </c>
      <c r="CF9">
        <v>2.4387193596798399E-3</v>
      </c>
      <c r="CG9" s="5">
        <v>4.1783890472759202E-4</v>
      </c>
      <c r="CH9" s="5">
        <v>8.3397948974487204E-4</v>
      </c>
      <c r="CI9" s="13">
        <v>8.0243054025885705</v>
      </c>
      <c r="CJ9" s="13">
        <v>7.3501334776126699</v>
      </c>
      <c r="CK9" s="12">
        <v>8.9745289704748306</v>
      </c>
      <c r="CL9" s="13">
        <v>8.0243054025885705</v>
      </c>
      <c r="CM9" s="13">
        <v>7.3501334776126699</v>
      </c>
      <c r="CN9">
        <v>8.9745289704748306</v>
      </c>
      <c r="CO9">
        <v>2.6841376128768699</v>
      </c>
      <c r="CP9">
        <v>2.4821605272671001</v>
      </c>
      <c r="CQ9">
        <v>2.8972109950509002</v>
      </c>
      <c r="CR9">
        <v>8.0265416555422604</v>
      </c>
      <c r="CS9">
        <v>6.2056204621807902</v>
      </c>
      <c r="CT9">
        <v>10.2370346219816</v>
      </c>
      <c r="CU9">
        <v>3.5707010052371499</v>
      </c>
      <c r="CV9">
        <v>2.9721721089836199</v>
      </c>
      <c r="CW9">
        <v>4.25430516055465</v>
      </c>
      <c r="CX9">
        <v>0.52539664562560495</v>
      </c>
      <c r="CY9">
        <v>0.34291688111415097</v>
      </c>
      <c r="CZ9">
        <v>1.2972066703190399</v>
      </c>
      <c r="DA9">
        <v>1.8675890044228999E-2</v>
      </c>
      <c r="DB9">
        <v>1.1462353517427E-2</v>
      </c>
      <c r="DC9">
        <v>7.5036913098883606E-2</v>
      </c>
      <c r="DD9">
        <v>7.4182202248383997E-2</v>
      </c>
      <c r="DE9">
        <v>4.7038281462944302E-2</v>
      </c>
      <c r="DF9">
        <v>0.237431763005473</v>
      </c>
      <c r="DG9">
        <v>0.74933356808344598</v>
      </c>
      <c r="DH9">
        <v>0.74933356808344598</v>
      </c>
      <c r="DI9">
        <v>0.25066643191655402</v>
      </c>
      <c r="DJ9">
        <v>0.472451026317669</v>
      </c>
      <c r="DK9">
        <v>0.39116880896364198</v>
      </c>
      <c r="DL9">
        <v>5.6491128242083901</v>
      </c>
      <c r="DM9">
        <v>3.0636928999297801</v>
      </c>
      <c r="DN9">
        <v>1.44710409482816E-2</v>
      </c>
      <c r="DO9">
        <v>6.1625507639022699E-2</v>
      </c>
      <c r="DP9">
        <v>0.9</v>
      </c>
      <c r="DQ9">
        <v>17.326203208556102</v>
      </c>
      <c r="DR9">
        <v>0.127851592277788</v>
      </c>
      <c r="DS9">
        <v>-0.10756282083737401</v>
      </c>
      <c r="DT9">
        <v>0</v>
      </c>
      <c r="DU9">
        <v>0</v>
      </c>
      <c r="DY9" s="5">
        <v>5.6500000000000002E-2</v>
      </c>
      <c r="DZ9" s="5">
        <v>5.74E-2</v>
      </c>
      <c r="EA9" s="5">
        <v>5.5500000000000001E-2</v>
      </c>
      <c r="EB9">
        <v>3.843429</v>
      </c>
      <c r="EE9">
        <v>4.1889560000000001</v>
      </c>
    </row>
    <row r="10" spans="1:137" x14ac:dyDescent="0.2">
      <c r="A10" t="s">
        <v>96</v>
      </c>
      <c r="B10">
        <v>1.88786211802041</v>
      </c>
      <c r="C10">
        <v>1.8370947893215099</v>
      </c>
      <c r="D10">
        <v>1.94176703485887</v>
      </c>
      <c r="E10">
        <v>2.5737451578533102</v>
      </c>
      <c r="F10">
        <v>1.9474367896484199</v>
      </c>
      <c r="G10">
        <v>3.4763425967672799</v>
      </c>
      <c r="H10">
        <v>0</v>
      </c>
      <c r="I10">
        <v>0</v>
      </c>
      <c r="J10">
        <v>0</v>
      </c>
      <c r="K10">
        <v>4.4616072758737202</v>
      </c>
      <c r="L10">
        <v>3.8333957528544498</v>
      </c>
      <c r="M10">
        <v>5.3713353214307098</v>
      </c>
      <c r="N10">
        <v>1.9474367896484199</v>
      </c>
      <c r="O10">
        <v>3.4763425967672799</v>
      </c>
      <c r="P10">
        <v>3.7938048652200602</v>
      </c>
      <c r="Q10" s="20">
        <v>2.9650902195036299</v>
      </c>
      <c r="R10" s="20">
        <v>4.9503655806375804</v>
      </c>
      <c r="S10" s="20">
        <v>0</v>
      </c>
      <c r="T10">
        <v>0.922322870866917</v>
      </c>
      <c r="U10" s="12">
        <v>9.1777350119606904</v>
      </c>
      <c r="V10" s="6">
        <v>7.8798002377591496</v>
      </c>
      <c r="W10" s="6">
        <v>10.6741795653304</v>
      </c>
      <c r="X10" s="7">
        <v>1000</v>
      </c>
      <c r="Y10" s="21">
        <v>0.19641561359277601</v>
      </c>
      <c r="Z10" s="21">
        <v>20.646401600000001</v>
      </c>
      <c r="AA10" s="8">
        <v>37.591104176000002</v>
      </c>
      <c r="AB10" s="7">
        <v>245.23327540106999</v>
      </c>
      <c r="AC10" s="7">
        <v>33090</v>
      </c>
      <c r="AD10" s="7">
        <v>238974</v>
      </c>
      <c r="AE10" s="6">
        <v>1.99587797622094</v>
      </c>
      <c r="AF10">
        <v>48</v>
      </c>
      <c r="AG10">
        <v>45.261000000000003</v>
      </c>
      <c r="AH10">
        <v>27</v>
      </c>
      <c r="AI10">
        <v>8.0670000000000002</v>
      </c>
      <c r="AJ10">
        <v>63</v>
      </c>
      <c r="AK10" s="4">
        <v>34</v>
      </c>
      <c r="AL10" s="4"/>
      <c r="AM10" s="4">
        <v>2.81018498888732</v>
      </c>
      <c r="AN10" s="6" t="s">
        <v>37</v>
      </c>
      <c r="AO10" s="11" t="s">
        <v>36</v>
      </c>
      <c r="AP10" s="12">
        <v>20230328</v>
      </c>
      <c r="AQ10" s="12">
        <v>119733</v>
      </c>
      <c r="AR10">
        <v>7.2219675493093698</v>
      </c>
      <c r="AS10">
        <v>0.37211076458539299</v>
      </c>
      <c r="AT10">
        <v>7.3088364150517199E-2</v>
      </c>
      <c r="AU10" s="12">
        <v>6.21120706972702E-3</v>
      </c>
      <c r="AV10" s="2">
        <v>0.44663384651753002</v>
      </c>
      <c r="AW10" s="2">
        <v>0.55336615348246998</v>
      </c>
      <c r="AX10" s="2">
        <v>0</v>
      </c>
      <c r="AY10" s="3">
        <v>7.69822983823416E-3</v>
      </c>
      <c r="AZ10" s="3">
        <v>7.1418995822199703E-3</v>
      </c>
      <c r="BA10" s="3">
        <v>8.2889431366041707E-3</v>
      </c>
      <c r="BB10" s="3">
        <v>1.0495089435330699E-2</v>
      </c>
      <c r="BC10" s="3">
        <v>3.63173255291934E-3</v>
      </c>
      <c r="BD10" s="3">
        <v>2.03861409666596E-2</v>
      </c>
      <c r="BE10" s="3">
        <v>0</v>
      </c>
      <c r="BF10" s="3">
        <v>0</v>
      </c>
      <c r="BG10" s="3">
        <v>0</v>
      </c>
      <c r="BH10" s="3">
        <v>1.8193319273564899E-2</v>
      </c>
      <c r="BI10" s="3">
        <v>1.5631629706796799E-2</v>
      </c>
      <c r="BJ10" s="3">
        <v>2.19029628530064E-2</v>
      </c>
      <c r="BK10" s="3">
        <v>3.7424509365422999E-2</v>
      </c>
      <c r="BL10" s="3">
        <v>-5.2926535849542504E-3</v>
      </c>
      <c r="BM10" s="3">
        <v>6.1021268460501703E-3</v>
      </c>
      <c r="BN10" s="3">
        <v>3.2131855780468802E-2</v>
      </c>
      <c r="BO10" s="3">
        <v>4.3526636211473201E-2</v>
      </c>
      <c r="BP10" s="3">
        <v>1.5470187962932201E-2</v>
      </c>
      <c r="BQ10" s="3">
        <v>1.2090896778401399E-2</v>
      </c>
      <c r="BR10" s="3">
        <v>2.0186353473204001E-2</v>
      </c>
      <c r="BS10" s="3">
        <v>0</v>
      </c>
      <c r="BT10" s="3">
        <v>0</v>
      </c>
      <c r="BU10" s="3">
        <v>0</v>
      </c>
      <c r="BV10" s="3">
        <v>3.7610021289259899E-3</v>
      </c>
      <c r="BW10" s="3">
        <v>3.0840217457193098E-3</v>
      </c>
      <c r="BX10" s="3">
        <v>4.4379825121326696E-3</v>
      </c>
      <c r="BY10" s="3">
        <v>1.92311900918582E-2</v>
      </c>
      <c r="BZ10" s="3">
        <v>1.51749185241208E-2</v>
      </c>
      <c r="CA10" s="3">
        <v>2.4624335985336698E-2</v>
      </c>
      <c r="CB10">
        <v>4.0089198466588199E-4</v>
      </c>
      <c r="CC10" s="3">
        <v>3.7801608579088498E-4</v>
      </c>
      <c r="CD10">
        <v>0.98378097165993605</v>
      </c>
      <c r="CE10">
        <v>16579</v>
      </c>
      <c r="CF10">
        <v>1.6285662585198101E-3</v>
      </c>
      <c r="CG10" s="5">
        <v>2.4378966455122401E-4</v>
      </c>
      <c r="CH10" s="5">
        <v>4.8657940768441997E-4</v>
      </c>
      <c r="CI10" s="13">
        <v>6.3675500230733597</v>
      </c>
      <c r="CJ10" s="13">
        <v>5.5388353773569303</v>
      </c>
      <c r="CK10" s="12">
        <v>7.5241107384908901</v>
      </c>
      <c r="CL10" s="13">
        <v>6.3675500230733597</v>
      </c>
      <c r="CM10" s="13">
        <v>5.5388353773569303</v>
      </c>
      <c r="CN10">
        <v>7.5241107384908901</v>
      </c>
      <c r="CO10">
        <v>2.81018498888732</v>
      </c>
      <c r="CP10">
        <v>2.5933995434323802</v>
      </c>
      <c r="CQ10">
        <v>3.03010802248183</v>
      </c>
      <c r="CR10">
        <v>6.3643978812168696</v>
      </c>
      <c r="CS10">
        <v>4.6697631750794297</v>
      </c>
      <c r="CT10">
        <v>8.7994817956366802</v>
      </c>
      <c r="CU10">
        <v>2.8943582339012002</v>
      </c>
      <c r="CV10">
        <v>2.2094105376218698</v>
      </c>
      <c r="CW10">
        <v>3.8017290601853202</v>
      </c>
      <c r="CX10">
        <v>0.67488330392568097</v>
      </c>
      <c r="CY10">
        <v>0.42375196169598001</v>
      </c>
      <c r="CZ10">
        <v>1.5724614890986199</v>
      </c>
      <c r="DA10">
        <v>0.224563327393178</v>
      </c>
      <c r="DB10">
        <v>0.154502075300994</v>
      </c>
      <c r="DC10">
        <v>0.28627926784282098</v>
      </c>
      <c r="DD10">
        <v>0</v>
      </c>
      <c r="DE10">
        <v>0</v>
      </c>
      <c r="DF10">
        <v>0</v>
      </c>
      <c r="DG10">
        <v>0.69379041493177296</v>
      </c>
      <c r="DH10">
        <v>0.69379041493177296</v>
      </c>
      <c r="DI10">
        <v>0.30620958506822699</v>
      </c>
      <c r="DJ10">
        <v>0.51385382909321997</v>
      </c>
      <c r="DK10">
        <v>0.41335314005573298</v>
      </c>
      <c r="DL10">
        <v>4.4616072758737202</v>
      </c>
      <c r="DM10">
        <v>2.3250251629262002</v>
      </c>
      <c r="DN10">
        <v>1.4791801399425099E-2</v>
      </c>
      <c r="DO10">
        <v>6.1625507639022699E-2</v>
      </c>
      <c r="DP10">
        <v>0.9</v>
      </c>
      <c r="DQ10">
        <v>17.326203208556102</v>
      </c>
      <c r="DR10">
        <v>0.163020995675763</v>
      </c>
      <c r="DS10">
        <v>-0.14142859065049199</v>
      </c>
      <c r="DT10">
        <v>0</v>
      </c>
      <c r="DU10">
        <v>0</v>
      </c>
      <c r="DY10" s="5">
        <v>5.6500000000000002E-2</v>
      </c>
      <c r="DZ10" s="5">
        <v>5.74E-2</v>
      </c>
      <c r="EA10" s="5">
        <v>5.5500000000000001E-2</v>
      </c>
      <c r="EB10">
        <v>2.5805159999999998</v>
      </c>
      <c r="EE10">
        <v>3.7938049999999999</v>
      </c>
    </row>
    <row r="11" spans="1:137" x14ac:dyDescent="0.2">
      <c r="A11" t="s">
        <v>98</v>
      </c>
      <c r="B11">
        <v>1.7279457045512201</v>
      </c>
      <c r="C11">
        <v>1.6664969918713299</v>
      </c>
      <c r="D11">
        <v>1.79125820918754</v>
      </c>
      <c r="E11">
        <v>1.75476837503227</v>
      </c>
      <c r="F11">
        <v>1.2914508946116401</v>
      </c>
      <c r="G11">
        <v>2.31260989092157</v>
      </c>
      <c r="H11">
        <v>0</v>
      </c>
      <c r="I11">
        <v>0</v>
      </c>
      <c r="J11">
        <v>0</v>
      </c>
      <c r="K11">
        <v>3.4827140795834901</v>
      </c>
      <c r="L11">
        <v>3.0250833472158698</v>
      </c>
      <c r="M11">
        <v>4.0385922901170401</v>
      </c>
      <c r="N11">
        <v>1.2914508946116401</v>
      </c>
      <c r="O11">
        <v>2.31260989092157</v>
      </c>
      <c r="P11">
        <v>0.79395397070766405</v>
      </c>
      <c r="Q11" s="20">
        <v>0.55990172198576005</v>
      </c>
      <c r="R11" s="20">
        <v>1.0641179314861999</v>
      </c>
      <c r="S11" s="20">
        <v>0</v>
      </c>
      <c r="T11">
        <v>0.74474802017904296</v>
      </c>
      <c r="U11" s="12">
        <v>5.02141607047019</v>
      </c>
      <c r="V11" s="6">
        <v>4.3764155688882802</v>
      </c>
      <c r="W11" s="6">
        <v>5.7468923066922004</v>
      </c>
      <c r="X11" s="7">
        <v>1000</v>
      </c>
      <c r="Y11" s="21">
        <v>0.111421422118788</v>
      </c>
      <c r="Z11" s="21">
        <v>15.958829700000001</v>
      </c>
      <c r="AA11" s="8">
        <v>23.222999999999999</v>
      </c>
      <c r="AB11" s="7">
        <v>198.01850534759399</v>
      </c>
      <c r="AC11" s="7">
        <v>33418</v>
      </c>
      <c r="AD11" s="7">
        <v>119340</v>
      </c>
      <c r="AE11" s="6">
        <v>1.99587797622094</v>
      </c>
      <c r="AF11">
        <v>47</v>
      </c>
      <c r="AG11">
        <v>41.14</v>
      </c>
      <c r="AH11">
        <v>35</v>
      </c>
      <c r="AI11">
        <v>15.715999999999999</v>
      </c>
      <c r="AJ11">
        <v>17</v>
      </c>
      <c r="AK11" s="4">
        <v>12</v>
      </c>
      <c r="AL11" s="4"/>
      <c r="AM11" s="4">
        <v>2.4726937247302598</v>
      </c>
      <c r="AN11" s="6" t="s">
        <v>37</v>
      </c>
      <c r="AO11" s="11" t="s">
        <v>36</v>
      </c>
      <c r="AP11" s="12">
        <v>20230328</v>
      </c>
      <c r="AQ11" s="12">
        <v>59793</v>
      </c>
      <c r="AR11">
        <v>3.5712237950188102</v>
      </c>
      <c r="AS11">
        <v>0.52916543291403595</v>
      </c>
      <c r="AT11">
        <v>5.8960365071386099E-2</v>
      </c>
      <c r="AU11" s="12">
        <v>3.52345474030435E-3</v>
      </c>
      <c r="AV11" s="2">
        <v>0.42546891154361499</v>
      </c>
      <c r="AW11" s="2">
        <v>0.57453108845638501</v>
      </c>
      <c r="AX11" s="2">
        <v>0</v>
      </c>
      <c r="AY11" s="3">
        <v>8.7261829469829095E-3</v>
      </c>
      <c r="AZ11" s="3">
        <v>8.1397538046155196E-3</v>
      </c>
      <c r="BA11" s="3">
        <v>9.3303989862745604E-3</v>
      </c>
      <c r="BB11" s="3">
        <v>8.8616383198732909E-3</v>
      </c>
      <c r="BC11" s="3">
        <v>4.4400180639323399E-3</v>
      </c>
      <c r="BD11" s="3">
        <v>1.41853384833586E-2</v>
      </c>
      <c r="BE11" s="3">
        <v>0</v>
      </c>
      <c r="BF11" s="3">
        <v>0</v>
      </c>
      <c r="BG11" s="3">
        <v>0</v>
      </c>
      <c r="BH11" s="3">
        <v>1.75878212668562E-2</v>
      </c>
      <c r="BI11" s="3">
        <v>1.52767709356545E-2</v>
      </c>
      <c r="BJ11" s="3">
        <v>2.0395024611603099E-2</v>
      </c>
      <c r="BK11" s="3">
        <v>2.5358317201999901E-2</v>
      </c>
      <c r="BL11" s="3">
        <v>-3.25727386160048E-3</v>
      </c>
      <c r="BM11" s="3">
        <v>3.6636789826715102E-3</v>
      </c>
      <c r="BN11" s="3">
        <v>2.21010433403994E-2</v>
      </c>
      <c r="BO11" s="3">
        <v>2.9021996184671401E-2</v>
      </c>
      <c r="BP11" s="3">
        <v>4.00949380621771E-3</v>
      </c>
      <c r="BQ11" s="3">
        <v>2.8275222106284E-3</v>
      </c>
      <c r="BR11" s="3">
        <v>5.3738307418202602E-3</v>
      </c>
      <c r="BS11" s="3">
        <v>0</v>
      </c>
      <c r="BT11" s="3">
        <v>0</v>
      </c>
      <c r="BU11" s="3">
        <v>0</v>
      </c>
      <c r="BV11" s="3">
        <v>3.7610021289259899E-3</v>
      </c>
      <c r="BW11" s="3">
        <v>3.0840217457193098E-3</v>
      </c>
      <c r="BX11" s="3">
        <v>4.4379825121326696E-3</v>
      </c>
      <c r="BY11" s="3">
        <v>7.7704959351437E-3</v>
      </c>
      <c r="BZ11" s="3">
        <v>5.9115439563477198E-3</v>
      </c>
      <c r="CA11" s="3">
        <v>9.8118132539529307E-3</v>
      </c>
      <c r="CB11">
        <v>7.8604518923619797E-4</v>
      </c>
      <c r="CC11" s="3">
        <v>6.8804040606760002E-4</v>
      </c>
      <c r="CD11">
        <v>0.96072198300029699</v>
      </c>
      <c r="CE11">
        <v>16743</v>
      </c>
      <c r="CF11">
        <v>2.0904258496087899E-3</v>
      </c>
      <c r="CG11" s="5">
        <v>4.7028547489377001E-4</v>
      </c>
      <c r="CH11" s="5">
        <v>9.3866093292719395E-4</v>
      </c>
      <c r="CI11" s="13">
        <v>2.5487223457399302</v>
      </c>
      <c r="CJ11" s="13">
        <v>2.3146700970180301</v>
      </c>
      <c r="CK11" s="12">
        <v>2.8188863065184702</v>
      </c>
      <c r="CL11" s="13">
        <v>2.5487223457399302</v>
      </c>
      <c r="CM11" s="13">
        <v>2.3146700970180301</v>
      </c>
      <c r="CN11">
        <v>2.8188863065184702</v>
      </c>
      <c r="CO11">
        <v>2.4726937247302598</v>
      </c>
      <c r="CP11">
        <v>2.27719036841814</v>
      </c>
      <c r="CQ11">
        <v>2.67006087299881</v>
      </c>
      <c r="CR11">
        <v>2.5597313430508901</v>
      </c>
      <c r="CS11">
        <v>1.6740932078158199</v>
      </c>
      <c r="CT11">
        <v>3.6189041920056302</v>
      </c>
      <c r="CU11">
        <v>0.53770521432547802</v>
      </c>
      <c r="CV11">
        <v>0.36721407582927101</v>
      </c>
      <c r="CW11">
        <v>0.75176111672585999</v>
      </c>
      <c r="CX11">
        <v>0.25624875638218603</v>
      </c>
      <c r="CY11">
        <v>0.124270989994407</v>
      </c>
      <c r="CZ11">
        <v>0.43673429972467898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0.50756012312233301</v>
      </c>
      <c r="DH11">
        <v>0.50756012312233301</v>
      </c>
      <c r="DI11">
        <v>0.49243987687766699</v>
      </c>
      <c r="DJ11">
        <v>0.30642374317547499</v>
      </c>
      <c r="DK11">
        <v>0.15810583583248999</v>
      </c>
      <c r="DL11">
        <v>3.4827140795834901</v>
      </c>
      <c r="DM11">
        <v>1.9363580438986501</v>
      </c>
      <c r="DN11">
        <v>1.1826942922271599E-2</v>
      </c>
      <c r="DO11">
        <v>6.1625507639022699E-2</v>
      </c>
      <c r="DP11">
        <v>0.9</v>
      </c>
      <c r="DQ11">
        <v>17.326203208556102</v>
      </c>
      <c r="DR11">
        <v>0.144463560643878</v>
      </c>
      <c r="DS11">
        <v>-0.12844560617747</v>
      </c>
      <c r="DT11">
        <v>0</v>
      </c>
      <c r="DU11">
        <v>0</v>
      </c>
      <c r="DY11" s="5">
        <v>5.6500000000000002E-2</v>
      </c>
      <c r="DZ11" s="5">
        <v>5.74E-2</v>
      </c>
      <c r="EA11" s="5">
        <v>5.5500000000000001E-2</v>
      </c>
      <c r="EB11">
        <v>1.776413</v>
      </c>
      <c r="EE11">
        <v>0.79395400000000005</v>
      </c>
    </row>
    <row r="12" spans="1:137" x14ac:dyDescent="0.2">
      <c r="A12" t="s">
        <v>99</v>
      </c>
      <c r="B12">
        <v>12.232832777231801</v>
      </c>
      <c r="C12">
        <v>11.960012257609201</v>
      </c>
      <c r="D12">
        <v>12.5150597307385</v>
      </c>
      <c r="E12">
        <v>2.3047931612868102</v>
      </c>
      <c r="F12">
        <v>1.65256822181942</v>
      </c>
      <c r="G12">
        <v>3.0979951600943898</v>
      </c>
      <c r="H12">
        <v>0</v>
      </c>
      <c r="I12">
        <v>0</v>
      </c>
      <c r="J12">
        <v>0</v>
      </c>
      <c r="K12">
        <v>14.5376259385186</v>
      </c>
      <c r="L12">
        <v>13.816907708030501</v>
      </c>
      <c r="M12">
        <v>15.3988675437284</v>
      </c>
      <c r="N12">
        <v>1.65256822181942</v>
      </c>
      <c r="O12">
        <v>3.0979951600943898</v>
      </c>
      <c r="P12">
        <v>0.71351519133377195</v>
      </c>
      <c r="Q12" s="20">
        <v>0.471934692910493</v>
      </c>
      <c r="R12" s="20">
        <v>1.0533050864203899</v>
      </c>
      <c r="S12" s="20">
        <v>0</v>
      </c>
      <c r="T12">
        <v>6.2465240391779702</v>
      </c>
      <c r="U12" s="12">
        <v>21.497665169030402</v>
      </c>
      <c r="V12" s="6">
        <v>19.584264868235699</v>
      </c>
      <c r="W12" s="6">
        <v>23.515509072318402</v>
      </c>
      <c r="X12" s="7">
        <v>1000</v>
      </c>
      <c r="Y12" s="21">
        <v>4.7402711946863699E-2</v>
      </c>
      <c r="Z12" s="21">
        <v>11.1023447</v>
      </c>
      <c r="AA12" s="8">
        <v>75.042000000000002</v>
      </c>
      <c r="AB12" s="7">
        <v>1997.39449106952</v>
      </c>
      <c r="AC12" s="7">
        <v>11671</v>
      </c>
      <c r="AD12" s="7">
        <v>59356</v>
      </c>
      <c r="AE12" s="6">
        <v>1.6088026118202501</v>
      </c>
      <c r="AF12">
        <v>34</v>
      </c>
      <c r="AG12">
        <v>27.151</v>
      </c>
      <c r="AH12">
        <v>27</v>
      </c>
      <c r="AI12">
        <v>8.4909999999999997</v>
      </c>
      <c r="AJ12">
        <v>24</v>
      </c>
      <c r="AK12" s="4">
        <v>9</v>
      </c>
      <c r="AL12" s="4"/>
      <c r="AM12" s="4">
        <v>18.479356816409801</v>
      </c>
      <c r="AN12" s="6" t="s">
        <v>37</v>
      </c>
      <c r="AO12" s="11" t="s">
        <v>36</v>
      </c>
      <c r="AP12" s="12">
        <v>20230328</v>
      </c>
      <c r="AQ12" s="12">
        <v>36894</v>
      </c>
      <c r="AR12">
        <v>5.0860215053763396</v>
      </c>
      <c r="AS12">
        <v>0.44341553440561798</v>
      </c>
      <c r="AT12">
        <v>2.1019098850194099E-2</v>
      </c>
      <c r="AU12" s="12">
        <v>1.4990053702096399E-3</v>
      </c>
      <c r="AV12" s="2">
        <v>0.89945090903104996</v>
      </c>
      <c r="AW12" s="2">
        <v>0.100549090968951</v>
      </c>
      <c r="AX12" s="2">
        <v>0</v>
      </c>
      <c r="AY12" s="3">
        <v>6.1243949715119404E-3</v>
      </c>
      <c r="AZ12" s="3">
        <v>5.81635840061744E-3</v>
      </c>
      <c r="BA12" s="3">
        <v>6.4430521718298701E-3</v>
      </c>
      <c r="BB12" s="3">
        <v>1.15389982879781E-3</v>
      </c>
      <c r="BC12" s="3">
        <v>4.1748478903712001E-4</v>
      </c>
      <c r="BD12" s="3">
        <v>2.0494894423552898E-3</v>
      </c>
      <c r="BE12" s="3">
        <v>0</v>
      </c>
      <c r="BF12" s="3">
        <v>0</v>
      </c>
      <c r="BG12" s="3">
        <v>0</v>
      </c>
      <c r="BH12" s="3">
        <v>7.2782948003097502E-3</v>
      </c>
      <c r="BI12" s="3">
        <v>6.91746561323102E-3</v>
      </c>
      <c r="BJ12" s="3">
        <v>7.7094773278777503E-3</v>
      </c>
      <c r="BK12" s="3">
        <v>1.0762853940545001E-2</v>
      </c>
      <c r="BL12" s="3">
        <v>-9.5794812159018196E-4</v>
      </c>
      <c r="BM12" s="3">
        <v>1.0102380437664901E-3</v>
      </c>
      <c r="BN12" s="3">
        <v>9.8049058189547799E-3</v>
      </c>
      <c r="BO12" s="3">
        <v>1.17730919843115E-2</v>
      </c>
      <c r="BP12" s="3">
        <v>3.5722296948547002E-4</v>
      </c>
      <c r="BQ12" s="3">
        <v>2.3627515496840699E-4</v>
      </c>
      <c r="BR12" s="3">
        <v>5.2733953714691195E-4</v>
      </c>
      <c r="BS12" s="3">
        <v>0</v>
      </c>
      <c r="BT12" s="3">
        <v>0</v>
      </c>
      <c r="BU12" s="3">
        <v>0</v>
      </c>
      <c r="BV12" s="3">
        <v>3.12733617074974E-3</v>
      </c>
      <c r="BW12" s="3">
        <v>2.5644156600147898E-3</v>
      </c>
      <c r="BX12" s="3">
        <v>3.6902566814846901E-3</v>
      </c>
      <c r="BY12" s="3">
        <v>3.4845591402352101E-3</v>
      </c>
      <c r="BZ12" s="3">
        <v>2.8006908149831901E-3</v>
      </c>
      <c r="CA12" s="3">
        <v>4.2175962186316099E-3</v>
      </c>
      <c r="CB12">
        <v>9.2155906109394497E-4</v>
      </c>
      <c r="CC12" s="3">
        <v>7.3591911964004995E-4</v>
      </c>
      <c r="CD12">
        <v>0.977032629775754</v>
      </c>
      <c r="CE12">
        <v>7254</v>
      </c>
      <c r="CF12">
        <v>3.7220843672456602E-3</v>
      </c>
      <c r="CG12" s="5">
        <v>7.27529774655128E-4</v>
      </c>
      <c r="CH12" s="5">
        <v>1.1705266060104799E-3</v>
      </c>
      <c r="CI12" s="13">
        <v>3.0183083526205898</v>
      </c>
      <c r="CJ12" s="13">
        <v>2.7767278541973099</v>
      </c>
      <c r="CK12" s="12">
        <v>3.3580982477072099</v>
      </c>
      <c r="CL12" s="13">
        <v>3.0183083526205898</v>
      </c>
      <c r="CM12" s="13">
        <v>2.7767278541973099</v>
      </c>
      <c r="CN12">
        <v>3.3580982477072099</v>
      </c>
      <c r="CO12">
        <v>18.479356816409801</v>
      </c>
      <c r="CP12">
        <v>17.0821619697351</v>
      </c>
      <c r="CQ12">
        <v>19.885958096968601</v>
      </c>
      <c r="CR12">
        <v>3.0631320410277398</v>
      </c>
      <c r="CS12">
        <v>1.59519471954584</v>
      </c>
      <c r="CT12">
        <v>4.8604373100087797</v>
      </c>
      <c r="CU12">
        <v>0.219429155648552</v>
      </c>
      <c r="CV12">
        <v>0.12527469893777499</v>
      </c>
      <c r="CW12">
        <v>0.40408769423949698</v>
      </c>
      <c r="CX12">
        <v>0.25155834243246999</v>
      </c>
      <c r="CY12">
        <v>0.13947766971292599</v>
      </c>
      <c r="CZ12">
        <v>0.452443447051461</v>
      </c>
      <c r="DA12">
        <v>0.242527693252751</v>
      </c>
      <c r="DB12">
        <v>0.134705180207977</v>
      </c>
      <c r="DC12">
        <v>0.51540878569273396</v>
      </c>
      <c r="DD12">
        <v>0</v>
      </c>
      <c r="DE12">
        <v>0</v>
      </c>
      <c r="DF12">
        <v>0</v>
      </c>
      <c r="DG12">
        <v>0.14039880472702099</v>
      </c>
      <c r="DH12">
        <v>0.14039880472702099</v>
      </c>
      <c r="DI12">
        <v>0.85960119527297896</v>
      </c>
      <c r="DJ12">
        <v>0.32375999742536699</v>
      </c>
      <c r="DK12">
        <v>3.3190530220754799E-2</v>
      </c>
      <c r="DL12">
        <v>14.5376259385186</v>
      </c>
      <c r="DM12">
        <v>1.16111596254979</v>
      </c>
      <c r="DN12">
        <v>0.27535077075675701</v>
      </c>
      <c r="DO12">
        <v>9.7082922446813796E-3</v>
      </c>
      <c r="DP12">
        <v>0.9</v>
      </c>
      <c r="DQ12">
        <v>17.326203208556102</v>
      </c>
      <c r="DR12">
        <v>9.3858945176240896E-2</v>
      </c>
      <c r="DS12">
        <v>-8.9003162278829595E-2</v>
      </c>
      <c r="DT12">
        <v>0</v>
      </c>
      <c r="DU12">
        <v>0</v>
      </c>
      <c r="DY12" s="5">
        <v>5.4000000000000003E-3</v>
      </c>
      <c r="DZ12" s="5">
        <v>6.1999999999999998E-3</v>
      </c>
      <c r="EA12" s="5">
        <v>4.7000000000000002E-3</v>
      </c>
      <c r="EB12">
        <v>2.3620619999999999</v>
      </c>
      <c r="EE12">
        <v>0.71351500000000001</v>
      </c>
    </row>
    <row r="13" spans="1:137" x14ac:dyDescent="0.2">
      <c r="A13" t="s">
        <v>100</v>
      </c>
      <c r="B13">
        <v>12.319771268468401</v>
      </c>
      <c r="C13">
        <v>12.0614792778908</v>
      </c>
      <c r="D13">
        <v>12.5933449670208</v>
      </c>
      <c r="E13">
        <v>2.3067039955748299</v>
      </c>
      <c r="F13">
        <v>1.5837146935608899</v>
      </c>
      <c r="G13">
        <v>3.1750612796853401</v>
      </c>
      <c r="H13">
        <v>0</v>
      </c>
      <c r="I13">
        <v>0</v>
      </c>
      <c r="J13">
        <v>0</v>
      </c>
      <c r="K13">
        <v>14.626475264043201</v>
      </c>
      <c r="L13">
        <v>13.847789512726701</v>
      </c>
      <c r="M13">
        <v>15.537185812433901</v>
      </c>
      <c r="N13">
        <v>1.5837146935608899</v>
      </c>
      <c r="O13">
        <v>3.1750612796853401</v>
      </c>
      <c r="P13">
        <v>2.3328780068317498</v>
      </c>
      <c r="Q13" s="20">
        <v>1.57251959052246</v>
      </c>
      <c r="R13" s="20">
        <v>4.0986749932878501</v>
      </c>
      <c r="S13" s="20">
        <v>0</v>
      </c>
      <c r="T13">
        <v>6.1693766305727804</v>
      </c>
      <c r="U13" s="12">
        <v>23.128729901447802</v>
      </c>
      <c r="V13" s="6">
        <v>20.796504563882301</v>
      </c>
      <c r="W13" s="6">
        <v>26.224277525176401</v>
      </c>
      <c r="X13" s="7">
        <v>1000</v>
      </c>
      <c r="Y13" s="21">
        <v>8.9035172319459899E-2</v>
      </c>
      <c r="Z13" s="21">
        <v>10.160212599999999</v>
      </c>
      <c r="AA13" s="8">
        <v>66.55</v>
      </c>
      <c r="AB13" s="7">
        <v>1972.72576203209</v>
      </c>
      <c r="AC13" s="7">
        <v>11688</v>
      </c>
      <c r="AD13" s="7">
        <v>67811</v>
      </c>
      <c r="AE13" s="6">
        <v>1.6088026118202501</v>
      </c>
      <c r="AF13">
        <v>40</v>
      </c>
      <c r="AG13">
        <v>31.591999999999999</v>
      </c>
      <c r="AH13">
        <v>33</v>
      </c>
      <c r="AI13">
        <v>8.4730000000000008</v>
      </c>
      <c r="AJ13">
        <v>29</v>
      </c>
      <c r="AK13" s="4">
        <v>21</v>
      </c>
      <c r="AL13" s="4"/>
      <c r="AM13" s="4">
        <v>18.4891478990412</v>
      </c>
      <c r="AN13" s="6" t="s">
        <v>37</v>
      </c>
      <c r="AO13" s="11" t="s">
        <v>36</v>
      </c>
      <c r="AP13" s="12">
        <v>20230328</v>
      </c>
      <c r="AQ13" s="12">
        <v>42149</v>
      </c>
      <c r="AR13">
        <v>5.8016517549896802</v>
      </c>
      <c r="AS13">
        <v>0.41516828655555399</v>
      </c>
      <c r="AT13">
        <v>3.6964579935048703E-2</v>
      </c>
      <c r="AU13" s="12">
        <v>2.8155393639507E-3</v>
      </c>
      <c r="AV13" s="2">
        <v>0.87637878410009695</v>
      </c>
      <c r="AW13" s="2">
        <v>0.12362121589990201</v>
      </c>
      <c r="AX13" s="2">
        <v>0</v>
      </c>
      <c r="AY13" s="3">
        <v>6.2450501258613398E-3</v>
      </c>
      <c r="AZ13" s="3">
        <v>5.92968036304192E-3</v>
      </c>
      <c r="BA13" s="3">
        <v>6.5790785726326101E-3</v>
      </c>
      <c r="BB13" s="3">
        <v>1.16929785171899E-3</v>
      </c>
      <c r="BC13" s="3">
        <v>2.86541231247572E-4</v>
      </c>
      <c r="BD13" s="3">
        <v>2.2295461006873601E-3</v>
      </c>
      <c r="BE13" s="3">
        <v>0</v>
      </c>
      <c r="BF13" s="3">
        <v>0</v>
      </c>
      <c r="BG13" s="3">
        <v>0</v>
      </c>
      <c r="BH13" s="3">
        <v>7.41434797758033E-3</v>
      </c>
      <c r="BI13" s="3">
        <v>7.0196221792441097E-3</v>
      </c>
      <c r="BJ13" s="3">
        <v>7.8759988395088291E-3</v>
      </c>
      <c r="BK13" s="3">
        <v>1.17242499421831E-2</v>
      </c>
      <c r="BL13" s="3">
        <v>-1.18223494742779E-3</v>
      </c>
      <c r="BM13" s="3">
        <v>1.5691728081555401E-3</v>
      </c>
      <c r="BN13" s="3">
        <v>1.05420149947553E-2</v>
      </c>
      <c r="BO13" s="3">
        <v>1.3293422750338599E-2</v>
      </c>
      <c r="BP13" s="3">
        <v>1.18256579385301E-3</v>
      </c>
      <c r="BQ13" s="3">
        <v>7.9713035678239698E-4</v>
      </c>
      <c r="BR13" s="3">
        <v>2.0776709424962601E-3</v>
      </c>
      <c r="BS13" s="3">
        <v>0</v>
      </c>
      <c r="BT13" s="3">
        <v>0</v>
      </c>
      <c r="BU13" s="3">
        <v>0</v>
      </c>
      <c r="BV13" s="3">
        <v>3.12733617074974E-3</v>
      </c>
      <c r="BW13" s="3">
        <v>2.5644156600147898E-3</v>
      </c>
      <c r="BX13" s="3">
        <v>3.6902566814846901E-3</v>
      </c>
      <c r="BY13" s="3">
        <v>4.3099019646027498E-3</v>
      </c>
      <c r="BZ13" s="3">
        <v>3.3615460167971799E-3</v>
      </c>
      <c r="CA13" s="3">
        <v>5.7679276239809502E-3</v>
      </c>
      <c r="CB13">
        <v>9.4901421148781704E-4</v>
      </c>
      <c r="CC13" s="3">
        <v>7.4953142423307803E-4</v>
      </c>
      <c r="CD13">
        <v>0.97363304804450601</v>
      </c>
      <c r="CE13">
        <v>7265</v>
      </c>
      <c r="CF13">
        <v>4.5423262216104602E-3</v>
      </c>
      <c r="CG13" s="5">
        <v>7.2493155373032196E-4</v>
      </c>
      <c r="CH13" s="5">
        <v>1.16627666896077E-3</v>
      </c>
      <c r="CI13" s="13">
        <v>4.6395820024065797</v>
      </c>
      <c r="CJ13" s="13">
        <v>3.8792235860972899</v>
      </c>
      <c r="CK13" s="12">
        <v>6.4053789888626698</v>
      </c>
      <c r="CL13" s="13">
        <v>4.6395820024065797</v>
      </c>
      <c r="CM13" s="13">
        <v>3.8792235860972899</v>
      </c>
      <c r="CN13">
        <v>6.4053789888626698</v>
      </c>
      <c r="CO13">
        <v>18.4891478990412</v>
      </c>
      <c r="CP13">
        <v>17.120368114960499</v>
      </c>
      <c r="CQ13">
        <v>19.873209391096601</v>
      </c>
      <c r="CR13">
        <v>4.7008625548180403</v>
      </c>
      <c r="CS13">
        <v>2.9447912078575098</v>
      </c>
      <c r="CT13">
        <v>6.8126629419481004</v>
      </c>
      <c r="CU13">
        <v>1.1640807845466301</v>
      </c>
      <c r="CV13">
        <v>0.68079135981416306</v>
      </c>
      <c r="CW13">
        <v>2.8266944090629602</v>
      </c>
      <c r="CX13">
        <v>0.74421680665597301</v>
      </c>
      <c r="CY13">
        <v>0.51435543900721603</v>
      </c>
      <c r="CZ13">
        <v>1.06479437036281</v>
      </c>
      <c r="DA13">
        <v>0.424580415629148</v>
      </c>
      <c r="DB13">
        <v>0.24874888303961401</v>
      </c>
      <c r="DC13">
        <v>0.706257255958464</v>
      </c>
      <c r="DD13">
        <v>0</v>
      </c>
      <c r="DE13">
        <v>0</v>
      </c>
      <c r="DF13">
        <v>0</v>
      </c>
      <c r="DG13">
        <v>0.20059552707963099</v>
      </c>
      <c r="DH13">
        <v>0.20059552707963099</v>
      </c>
      <c r="DI13">
        <v>0.79940447292036898</v>
      </c>
      <c r="DJ13">
        <v>0.36760606933678203</v>
      </c>
      <c r="DK13">
        <v>0.100863735917558</v>
      </c>
      <c r="DL13">
        <v>14.626475264043201</v>
      </c>
      <c r="DM13">
        <v>1.1559366890464999</v>
      </c>
      <c r="DN13">
        <v>0.27153830172499499</v>
      </c>
      <c r="DO13">
        <v>9.7082922446813796E-3</v>
      </c>
      <c r="DP13">
        <v>0.9</v>
      </c>
      <c r="DQ13">
        <v>17.326203208556102</v>
      </c>
      <c r="DR13">
        <v>0.13383551654810499</v>
      </c>
      <c r="DS13">
        <v>-0.100837903095922</v>
      </c>
      <c r="DT13">
        <v>0</v>
      </c>
      <c r="DU13">
        <v>0</v>
      </c>
      <c r="DY13" s="5">
        <v>5.4000000000000003E-3</v>
      </c>
      <c r="DZ13" s="5">
        <v>6.1999999999999998E-3</v>
      </c>
      <c r="EA13" s="5">
        <v>4.7000000000000002E-3</v>
      </c>
      <c r="EB13">
        <v>2.3722460000000001</v>
      </c>
      <c r="EE13">
        <v>2.332878</v>
      </c>
    </row>
    <row r="14" spans="1:137" x14ac:dyDescent="0.2">
      <c r="A14" t="s">
        <v>101</v>
      </c>
      <c r="B14">
        <v>11.8796733577915</v>
      </c>
      <c r="C14">
        <v>11.396827202019701</v>
      </c>
      <c r="D14">
        <v>12.4041305626136</v>
      </c>
      <c r="E14">
        <v>38.481573546864901</v>
      </c>
      <c r="F14">
        <v>32.707202145893902</v>
      </c>
      <c r="G14">
        <v>44.704702150010498</v>
      </c>
      <c r="H14">
        <v>0</v>
      </c>
      <c r="I14">
        <v>0</v>
      </c>
      <c r="J14">
        <v>0</v>
      </c>
      <c r="K14">
        <v>50.361246904656397</v>
      </c>
      <c r="L14">
        <v>44.5682363577573</v>
      </c>
      <c r="M14">
        <v>56.582977952136702</v>
      </c>
      <c r="N14">
        <v>32.707202145893902</v>
      </c>
      <c r="O14">
        <v>44.704702150010498</v>
      </c>
      <c r="P14">
        <v>7.8447681694351603</v>
      </c>
      <c r="Q14" s="20">
        <v>5.6389986512545498</v>
      </c>
      <c r="R14" s="20">
        <v>10.1795699288054</v>
      </c>
      <c r="S14" s="20">
        <v>0</v>
      </c>
      <c r="T14">
        <v>18.142915552524599</v>
      </c>
      <c r="U14" s="12">
        <v>76.348930626616095</v>
      </c>
      <c r="V14" s="6">
        <v>67.057397871602504</v>
      </c>
      <c r="W14" s="6">
        <v>86.328207866123606</v>
      </c>
      <c r="X14" s="7">
        <v>1000</v>
      </c>
      <c r="Y14" s="21">
        <v>5.7544121169968203E-2</v>
      </c>
      <c r="Z14" s="21">
        <v>92.241416200000003</v>
      </c>
      <c r="AA14" s="8">
        <v>105.413193072</v>
      </c>
      <c r="AB14" s="7">
        <v>10242.480039304801</v>
      </c>
      <c r="AC14" s="7">
        <v>16105</v>
      </c>
      <c r="AD14" s="7">
        <v>27797</v>
      </c>
      <c r="AE14" s="6">
        <v>1.2580446390776701</v>
      </c>
      <c r="AF14">
        <v>64</v>
      </c>
      <c r="AG14">
        <v>62</v>
      </c>
      <c r="AH14">
        <v>43</v>
      </c>
      <c r="AI14">
        <v>29.501999999999999</v>
      </c>
      <c r="AJ14">
        <v>23</v>
      </c>
      <c r="AK14" s="4">
        <v>17</v>
      </c>
      <c r="AL14" s="4"/>
      <c r="AM14" s="4">
        <v>30.022588910316099</v>
      </c>
      <c r="AN14" s="6" t="s">
        <v>37</v>
      </c>
      <c r="AO14" s="11" t="s">
        <v>36</v>
      </c>
      <c r="AP14" s="12">
        <v>20230328</v>
      </c>
      <c r="AQ14" s="12">
        <v>22095</v>
      </c>
      <c r="AR14">
        <v>1.72603702835716</v>
      </c>
      <c r="AS14">
        <v>0.76115822702748404</v>
      </c>
      <c r="AT14">
        <v>4.3800181245587697E-2</v>
      </c>
      <c r="AU14" s="12">
        <v>1.81970488849813E-3</v>
      </c>
      <c r="AV14" s="2">
        <v>7.2745246068986996E-2</v>
      </c>
      <c r="AW14" s="2">
        <v>0.92725475393101198</v>
      </c>
      <c r="AX14" s="2">
        <v>0</v>
      </c>
      <c r="AY14" s="3">
        <v>1.1598434473100399E-3</v>
      </c>
      <c r="AZ14" s="3">
        <v>1.0979095077479301E-3</v>
      </c>
      <c r="BA14" s="3">
        <v>1.22711477263403E-3</v>
      </c>
      <c r="BB14" s="3">
        <v>3.7570562402069099E-3</v>
      </c>
      <c r="BC14" s="3">
        <v>3.0163864324805798E-3</v>
      </c>
      <c r="BD14" s="3">
        <v>4.5552874494382799E-3</v>
      </c>
      <c r="BE14" s="3">
        <v>0</v>
      </c>
      <c r="BF14" s="3">
        <v>0</v>
      </c>
      <c r="BG14" s="3">
        <v>0</v>
      </c>
      <c r="BH14" s="3">
        <v>4.9168996875169502E-3</v>
      </c>
      <c r="BI14" s="3">
        <v>4.3513129814976197E-3</v>
      </c>
      <c r="BJ14" s="3">
        <v>5.5243434924943397E-3</v>
      </c>
      <c r="BK14" s="3">
        <v>7.45414492716924E-3</v>
      </c>
      <c r="BL14" s="3">
        <v>-9.0715654015024105E-4</v>
      </c>
      <c r="BM14" s="3">
        <v>9.7430282521544797E-4</v>
      </c>
      <c r="BN14" s="3">
        <v>6.5469883870190003E-3</v>
      </c>
      <c r="BO14" s="3">
        <v>8.4284477523846792E-3</v>
      </c>
      <c r="BP14" s="3">
        <v>7.6590514595404702E-4</v>
      </c>
      <c r="BQ14" s="3">
        <v>5.5055012356531696E-4</v>
      </c>
      <c r="BR14" s="3">
        <v>9.9385792207960896E-4</v>
      </c>
      <c r="BS14" s="3">
        <v>0</v>
      </c>
      <c r="BT14" s="3">
        <v>0</v>
      </c>
      <c r="BU14" s="3">
        <v>0</v>
      </c>
      <c r="BV14" s="3">
        <v>1.7713400936982401E-3</v>
      </c>
      <c r="BW14" s="3">
        <v>1.4524988768325601E-3</v>
      </c>
      <c r="BX14" s="3">
        <v>2.09018131056393E-3</v>
      </c>
      <c r="BY14" s="3">
        <v>2.5372452396522898E-3</v>
      </c>
      <c r="BZ14" s="3">
        <v>2.0030490003978699E-3</v>
      </c>
      <c r="CA14" s="3">
        <v>3.0840392326435301E-3</v>
      </c>
      <c r="CB14">
        <v>2.89658293731614E-3</v>
      </c>
      <c r="CC14" s="3">
        <v>2.8060647205250099E-3</v>
      </c>
      <c r="CD14">
        <v>0.99311755786670697</v>
      </c>
      <c r="CE14">
        <v>12801</v>
      </c>
      <c r="CF14">
        <v>3.3591125693305198E-3</v>
      </c>
      <c r="CG14" s="5">
        <v>1.83185346165787E-3</v>
      </c>
      <c r="CH14" s="5">
        <v>2.3046636981485799E-3</v>
      </c>
      <c r="CI14" s="13">
        <v>46.326341716300099</v>
      </c>
      <c r="CJ14" s="13">
        <v>44.120572198119397</v>
      </c>
      <c r="CK14" s="12">
        <v>48.661143475670201</v>
      </c>
      <c r="CL14" s="13">
        <v>46.326341716300099</v>
      </c>
      <c r="CM14" s="13">
        <v>44.120572198119397</v>
      </c>
      <c r="CN14">
        <v>48.661143475670201</v>
      </c>
      <c r="CO14">
        <v>30.022588910316099</v>
      </c>
      <c r="CP14">
        <v>26.274017955089899</v>
      </c>
      <c r="CQ14">
        <v>33.812770914592598</v>
      </c>
      <c r="CR14">
        <v>46.304759994972798</v>
      </c>
      <c r="CS14">
        <v>38.648638653753899</v>
      </c>
      <c r="CT14">
        <v>54.503800541304201</v>
      </c>
      <c r="CU14">
        <v>1.3835087284260901</v>
      </c>
      <c r="CV14">
        <v>0.55639226060171398</v>
      </c>
      <c r="CW14">
        <v>2.3588596584902</v>
      </c>
      <c r="CX14">
        <v>6.3610066248334602</v>
      </c>
      <c r="CY14">
        <v>4.3455190733014897</v>
      </c>
      <c r="CZ14">
        <v>8.5359151064241701</v>
      </c>
      <c r="DA14">
        <v>0.10025281617560999</v>
      </c>
      <c r="DB14">
        <v>2.3944560360870299E-2</v>
      </c>
      <c r="DC14">
        <v>0.38702771987669599</v>
      </c>
      <c r="DD14">
        <v>0</v>
      </c>
      <c r="DE14">
        <v>0</v>
      </c>
      <c r="DF14">
        <v>0</v>
      </c>
      <c r="DG14">
        <v>0.60676837810592599</v>
      </c>
      <c r="DH14">
        <v>0.60676837810592599</v>
      </c>
      <c r="DI14">
        <v>0.39323162189407401</v>
      </c>
      <c r="DJ14">
        <v>0.34038116563588799</v>
      </c>
      <c r="DK14">
        <v>0.102747957711063</v>
      </c>
      <c r="DL14">
        <v>50.361246904656397</v>
      </c>
      <c r="DM14">
        <v>4.21013917164922</v>
      </c>
      <c r="DN14">
        <v>0.80013124281734305</v>
      </c>
      <c r="DO14">
        <v>5.4988291489690196E-3</v>
      </c>
      <c r="DP14">
        <v>0.9</v>
      </c>
      <c r="DQ14">
        <v>17.326203208556102</v>
      </c>
      <c r="DR14">
        <v>0.13069940135414801</v>
      </c>
      <c r="DS14">
        <v>-0.12170612259475699</v>
      </c>
      <c r="DT14">
        <v>0</v>
      </c>
      <c r="DU14">
        <v>0</v>
      </c>
      <c r="DY14" s="5">
        <v>3.0999999999999999E-3</v>
      </c>
      <c r="DZ14" s="5">
        <v>3.5000000000000001E-3</v>
      </c>
      <c r="EA14" s="5">
        <v>2.5999999999999999E-3</v>
      </c>
      <c r="EB14">
        <v>38.544592000000002</v>
      </c>
      <c r="EE14">
        <v>7.8447680000000002</v>
      </c>
    </row>
    <row r="15" spans="1:137" x14ac:dyDescent="0.2">
      <c r="A15" t="s">
        <v>89</v>
      </c>
      <c r="B15">
        <v>10.546107142499601</v>
      </c>
      <c r="C15">
        <v>10.285606703046801</v>
      </c>
      <c r="D15">
        <v>10.8156682214518</v>
      </c>
      <c r="E15">
        <v>5.8726323485560998</v>
      </c>
      <c r="F15">
        <v>4.7375276893649696</v>
      </c>
      <c r="G15">
        <v>7.0345027897694399</v>
      </c>
      <c r="H15">
        <v>0</v>
      </c>
      <c r="I15">
        <v>0</v>
      </c>
      <c r="J15">
        <v>0</v>
      </c>
      <c r="K15">
        <v>16.4187394910557</v>
      </c>
      <c r="L15">
        <v>15.2746132725311</v>
      </c>
      <c r="M15">
        <v>17.584308519015099</v>
      </c>
      <c r="N15">
        <v>4.7375276893649696</v>
      </c>
      <c r="O15">
        <v>7.0345027897694399</v>
      </c>
      <c r="P15">
        <v>2.36779806778461</v>
      </c>
      <c r="Q15" s="20">
        <v>1.7530518030926201</v>
      </c>
      <c r="R15" s="20">
        <v>3.22327823336783</v>
      </c>
      <c r="S15" s="20">
        <v>0</v>
      </c>
      <c r="T15">
        <v>1.3191311322984201</v>
      </c>
      <c r="U15" s="12">
        <v>20.1056686911387</v>
      </c>
      <c r="V15" s="6">
        <v>18.449823513490401</v>
      </c>
      <c r="W15" s="6">
        <v>21.724096450789499</v>
      </c>
      <c r="X15" s="7">
        <v>1000</v>
      </c>
      <c r="Y15" s="21">
        <v>7.0991530548878606E-2</v>
      </c>
      <c r="Z15" s="21">
        <v>8.3545392399999994</v>
      </c>
      <c r="AA15" s="8">
        <v>52.98</v>
      </c>
      <c r="AB15" s="7">
        <v>350.73926764171102</v>
      </c>
      <c r="AC15" s="7">
        <v>9185</v>
      </c>
      <c r="AD15" s="7">
        <v>32340</v>
      </c>
      <c r="AE15" s="6">
        <v>1.70994738414317</v>
      </c>
      <c r="AF15">
        <v>56</v>
      </c>
      <c r="AG15">
        <v>41.13</v>
      </c>
      <c r="AH15">
        <v>42</v>
      </c>
      <c r="AI15">
        <v>24.905000000000001</v>
      </c>
      <c r="AJ15">
        <v>52</v>
      </c>
      <c r="AK15" s="4">
        <v>25</v>
      </c>
      <c r="AL15" s="4"/>
      <c r="AM15" s="4">
        <v>11.865238274797999</v>
      </c>
      <c r="AN15" s="6" t="s">
        <v>37</v>
      </c>
      <c r="AO15" s="11" t="s">
        <v>36</v>
      </c>
      <c r="AP15" s="12">
        <v>20230328</v>
      </c>
      <c r="AQ15" s="12">
        <v>18912</v>
      </c>
      <c r="AR15">
        <v>3.5211320052131798</v>
      </c>
      <c r="AS15">
        <v>0.53291610689503099</v>
      </c>
      <c r="AT15">
        <v>3.7832530082627998E-2</v>
      </c>
      <c r="AU15" s="12">
        <v>2.2449493111588001E-3</v>
      </c>
      <c r="AV15" s="2">
        <v>0.70703015530966096</v>
      </c>
      <c r="AW15" s="2">
        <v>0.29296984469033899</v>
      </c>
      <c r="AX15" s="2">
        <v>0</v>
      </c>
      <c r="AY15" s="3">
        <v>3.0068224791051E-2</v>
      </c>
      <c r="AZ15" s="3">
        <v>2.8674537875105901E-2</v>
      </c>
      <c r="BA15" s="3">
        <v>3.1510386461000302E-2</v>
      </c>
      <c r="BB15" s="3">
        <v>1.6743583882244801E-2</v>
      </c>
      <c r="BC15" s="3">
        <v>1.0670732277595201E-2</v>
      </c>
      <c r="BD15" s="3">
        <v>2.2959633403480499E-2</v>
      </c>
      <c r="BE15" s="3">
        <v>0</v>
      </c>
      <c r="BF15" s="3">
        <v>0</v>
      </c>
      <c r="BG15" s="3">
        <v>0</v>
      </c>
      <c r="BH15" s="3">
        <v>4.6811808673295797E-2</v>
      </c>
      <c r="BI15" s="3">
        <v>4.35497666834797E-2</v>
      </c>
      <c r="BJ15" s="3">
        <v>5.0134986701796502E-2</v>
      </c>
      <c r="BK15" s="3">
        <v>5.7323688979350702E-2</v>
      </c>
      <c r="BL15" s="3">
        <v>-4.7210145267788904E-3</v>
      </c>
      <c r="BM15" s="3">
        <v>4.61433295032165E-3</v>
      </c>
      <c r="BN15" s="3">
        <v>5.2602674452571802E-2</v>
      </c>
      <c r="BO15" s="3">
        <v>6.1938021929672397E-2</v>
      </c>
      <c r="BP15" s="3">
        <v>6.7508781771289297E-3</v>
      </c>
      <c r="BQ15" s="3">
        <v>4.9981623525638501E-3</v>
      </c>
      <c r="BR15" s="3">
        <v>9.1899554191362601E-3</v>
      </c>
      <c r="BS15" s="3">
        <v>0</v>
      </c>
      <c r="BT15" s="3">
        <v>0</v>
      </c>
      <c r="BU15" s="3">
        <v>0</v>
      </c>
      <c r="BV15" s="3">
        <v>3.7610021289259899E-3</v>
      </c>
      <c r="BW15" s="3">
        <v>3.0840217457193098E-3</v>
      </c>
      <c r="BX15" s="3">
        <v>4.4379825121326696E-3</v>
      </c>
      <c r="BY15" s="3">
        <v>1.05118803060549E-2</v>
      </c>
      <c r="BZ15" s="3">
        <v>8.0821840982831707E-3</v>
      </c>
      <c r="CA15" s="3">
        <v>1.36279379312689E-2</v>
      </c>
      <c r="CB15">
        <v>2.9610829103214899E-3</v>
      </c>
      <c r="CC15" s="3">
        <v>2.1748096446700502E-3</v>
      </c>
      <c r="CD15">
        <v>0.94815360360086098</v>
      </c>
      <c r="CE15">
        <v>5371</v>
      </c>
      <c r="CF15">
        <v>7.8197728542170903E-3</v>
      </c>
      <c r="CG15" s="5">
        <v>2.7114861186717499E-3</v>
      </c>
      <c r="CH15" s="5">
        <v>4.6369391174827801E-3</v>
      </c>
      <c r="CI15" s="13">
        <v>8.2404304163407094</v>
      </c>
      <c r="CJ15" s="13">
        <v>7.6256841516487102</v>
      </c>
      <c r="CK15" s="12">
        <v>9.0959105819239205</v>
      </c>
      <c r="CL15" s="13">
        <v>8.2404304163407094</v>
      </c>
      <c r="CM15" s="13">
        <v>7.6256841516487102</v>
      </c>
      <c r="CN15">
        <v>9.0959105819239205</v>
      </c>
      <c r="CO15">
        <v>11.865238274797999</v>
      </c>
      <c r="CP15">
        <v>11.367294231531501</v>
      </c>
      <c r="CQ15">
        <v>12.372242957564</v>
      </c>
      <c r="CR15">
        <v>8.3755420939949605</v>
      </c>
      <c r="CS15">
        <v>6.2608101002343997</v>
      </c>
      <c r="CT15">
        <v>10.581535853186301</v>
      </c>
      <c r="CU15">
        <v>1.80911898517697</v>
      </c>
      <c r="CV15">
        <v>1.32909735949551</v>
      </c>
      <c r="CW15">
        <v>2.4350056105922699</v>
      </c>
      <c r="CX15">
        <v>0.26537029722639499</v>
      </c>
      <c r="CY15">
        <v>0.17108014506250299</v>
      </c>
      <c r="CZ15">
        <v>0.41351091025757802</v>
      </c>
      <c r="DA15">
        <v>0.29330878538124999</v>
      </c>
      <c r="DB15">
        <v>0.13699980935776401</v>
      </c>
      <c r="DC15">
        <v>0.87323478725846704</v>
      </c>
      <c r="DD15">
        <v>0</v>
      </c>
      <c r="DE15">
        <v>0</v>
      </c>
      <c r="DF15">
        <v>0</v>
      </c>
      <c r="DG15">
        <v>0.40985300291787102</v>
      </c>
      <c r="DH15">
        <v>0.40985300291787102</v>
      </c>
      <c r="DI15">
        <v>0.59014699708212903</v>
      </c>
      <c r="DJ15">
        <v>0.183376485629243</v>
      </c>
      <c r="DK15">
        <v>0.117766025988168</v>
      </c>
      <c r="DL15">
        <v>16.4187394910557</v>
      </c>
      <c r="DM15">
        <v>1.47613858661206</v>
      </c>
      <c r="DN15">
        <v>6.5302414381253296E-2</v>
      </c>
      <c r="DO15">
        <v>2.4005541504687099E-2</v>
      </c>
      <c r="DP15">
        <v>0.9</v>
      </c>
      <c r="DQ15">
        <v>17.326203208556102</v>
      </c>
      <c r="DR15">
        <v>8.0505149786191194E-2</v>
      </c>
      <c r="DS15">
        <v>-8.23705859054807E-2</v>
      </c>
      <c r="DT15">
        <v>0</v>
      </c>
      <c r="DU15">
        <v>0</v>
      </c>
      <c r="DY15" s="5">
        <v>1.89E-2</v>
      </c>
      <c r="DZ15" s="5">
        <v>1.9800000000000002E-2</v>
      </c>
      <c r="EA15" s="5">
        <v>1.7899999999999999E-2</v>
      </c>
      <c r="EB15">
        <v>6.0409119999999996</v>
      </c>
      <c r="EE15">
        <v>2.3677980000000001</v>
      </c>
    </row>
    <row r="16" spans="1:137" x14ac:dyDescent="0.2">
      <c r="A16" t="s">
        <v>102</v>
      </c>
      <c r="B16">
        <v>3.5016954550173698</v>
      </c>
      <c r="C16">
        <v>3.2833694049733801</v>
      </c>
      <c r="D16">
        <v>3.7428101112565799</v>
      </c>
      <c r="E16">
        <v>15.138765031066599</v>
      </c>
      <c r="F16">
        <v>13.030170916052301</v>
      </c>
      <c r="G16">
        <v>17.581124127165701</v>
      </c>
      <c r="H16">
        <v>0.752653044830495</v>
      </c>
      <c r="I16">
        <v>0.52351724137884703</v>
      </c>
      <c r="J16">
        <v>1.07722845351259</v>
      </c>
      <c r="K16">
        <v>19.393113530914501</v>
      </c>
      <c r="L16">
        <v>17.218757354270601</v>
      </c>
      <c r="M16">
        <v>21.850881238198099</v>
      </c>
      <c r="N16">
        <v>13.030170916052301</v>
      </c>
      <c r="O16">
        <v>17.581124127165701</v>
      </c>
      <c r="P16">
        <v>2.5528017007705799</v>
      </c>
      <c r="Q16" s="20">
        <v>2.11095386040836</v>
      </c>
      <c r="R16" s="20">
        <v>3.0565756389261298</v>
      </c>
      <c r="S16" s="20">
        <v>1.60727078702999</v>
      </c>
      <c r="T16">
        <v>2.18648804612952</v>
      </c>
      <c r="U16" s="12">
        <v>25.7396740648446</v>
      </c>
      <c r="V16" s="6">
        <v>23.080581203013502</v>
      </c>
      <c r="W16" s="6">
        <v>28.6454756024483</v>
      </c>
      <c r="X16" s="7">
        <v>1000</v>
      </c>
      <c r="Y16" s="21">
        <v>6.5015162364104803E-2</v>
      </c>
      <c r="Z16" s="21">
        <v>10.8892576122736</v>
      </c>
      <c r="AA16">
        <v>55.886000000000003</v>
      </c>
      <c r="AB16">
        <v>636.66734652673802</v>
      </c>
      <c r="AC16">
        <v>7474</v>
      </c>
      <c r="AD16">
        <v>12982</v>
      </c>
      <c r="AE16" s="6">
        <v>1.62246508803886</v>
      </c>
      <c r="AF16">
        <v>80</v>
      </c>
      <c r="AG16">
        <v>80</v>
      </c>
      <c r="AH16">
        <v>49</v>
      </c>
      <c r="AI16">
        <v>40.006</v>
      </c>
      <c r="AJ16">
        <v>49</v>
      </c>
      <c r="AK16" s="4">
        <v>23</v>
      </c>
      <c r="AL16" s="4"/>
      <c r="AM16" s="4">
        <v>5.6881835011469004</v>
      </c>
      <c r="AN16" s="6" t="s">
        <v>37</v>
      </c>
      <c r="AO16" s="11" t="s">
        <v>36</v>
      </c>
      <c r="AP16" s="12">
        <v>20230328</v>
      </c>
      <c r="AQ16" s="12">
        <v>8001</v>
      </c>
      <c r="AR16">
        <v>1.7370820668692999</v>
      </c>
      <c r="AS16">
        <v>0.75873449917936997</v>
      </c>
      <c r="AT16">
        <v>4.9329246655394503E-2</v>
      </c>
      <c r="AU16" s="12">
        <v>2.05595995516229E-3</v>
      </c>
      <c r="AV16" s="2">
        <v>0.15345486245741899</v>
      </c>
      <c r="AW16" s="2">
        <v>0.83086326360287499</v>
      </c>
      <c r="AX16" s="2">
        <v>1.5681873939706201E-2</v>
      </c>
      <c r="AY16" s="3">
        <v>5.5000393441260202E-3</v>
      </c>
      <c r="AZ16" s="3">
        <v>5.0480760662767604E-3</v>
      </c>
      <c r="BA16" s="3">
        <v>5.99917799638217E-3</v>
      </c>
      <c r="BB16" s="3">
        <v>2.3778139578940701E-2</v>
      </c>
      <c r="BC16" s="3">
        <v>1.9413075915289599E-2</v>
      </c>
      <c r="BD16" s="3">
        <v>2.88341400998838E-2</v>
      </c>
      <c r="BE16" s="3">
        <v>1.1821762949466501E-3</v>
      </c>
      <c r="BF16" s="3">
        <v>7.0783542366829497E-4</v>
      </c>
      <c r="BG16" s="3">
        <v>1.8540895439046301E-3</v>
      </c>
      <c r="BH16" s="3">
        <v>3.04603552180134E-2</v>
      </c>
      <c r="BI16" s="3">
        <v>2.7045139739308902E-2</v>
      </c>
      <c r="BJ16" s="3">
        <v>3.4320719222374001E-2</v>
      </c>
      <c r="BK16" s="3">
        <v>4.0428764260118301E-2</v>
      </c>
      <c r="BL16" s="3">
        <v>-4.17658118692183E-3</v>
      </c>
      <c r="BM16" s="3">
        <v>4.5640813109954796E-3</v>
      </c>
      <c r="BN16" s="3">
        <v>3.6252183073196498E-2</v>
      </c>
      <c r="BO16" s="3">
        <v>4.4992845571113799E-2</v>
      </c>
      <c r="BP16" s="3">
        <v>4.0096318975632803E-3</v>
      </c>
      <c r="BQ16" s="3">
        <v>3.3156307951466599E-3</v>
      </c>
      <c r="BR16" s="3">
        <v>4.8008990183035297E-3</v>
      </c>
      <c r="BS16" s="3">
        <v>2.5245063937993101E-3</v>
      </c>
      <c r="BT16" s="3">
        <v>1.9803151454257499E-3</v>
      </c>
      <c r="BU16" s="3">
        <v>3.1013626631101999E-3</v>
      </c>
      <c r="BV16" s="3">
        <v>3.4342707507423499E-3</v>
      </c>
      <c r="BW16" s="3">
        <v>2.81610201560873E-3</v>
      </c>
      <c r="BX16" s="3">
        <v>4.0524394858759798E-3</v>
      </c>
      <c r="BY16" s="3">
        <v>9.9684090421049403E-3</v>
      </c>
      <c r="BZ16" s="3">
        <v>8.3660290620039893E-3</v>
      </c>
      <c r="CA16" s="3">
        <v>1.1602155046233799E-2</v>
      </c>
      <c r="CB16">
        <v>9.9987501562304702E-3</v>
      </c>
      <c r="CC16" s="3">
        <v>9.9987501562304702E-3</v>
      </c>
      <c r="CD16">
        <v>0.98912831831901504</v>
      </c>
      <c r="CE16">
        <v>4606</v>
      </c>
      <c r="CF16">
        <v>1.0638297872340399E-2</v>
      </c>
      <c r="CG16" s="5">
        <v>5.3526893229863502E-3</v>
      </c>
      <c r="CH16" s="5">
        <v>8.6856274424663496E-3</v>
      </c>
      <c r="CI16" s="13">
        <v>17.691566731837199</v>
      </c>
      <c r="CJ16" s="13">
        <v>17.249718891474998</v>
      </c>
      <c r="CK16" s="12">
        <v>18.195340669992699</v>
      </c>
      <c r="CL16" s="13">
        <v>19.298837518867199</v>
      </c>
      <c r="CM16" s="13">
        <v>18.510520880399898</v>
      </c>
      <c r="CN16">
        <v>20.1698770073322</v>
      </c>
      <c r="CO16">
        <v>5.6881835011469004</v>
      </c>
      <c r="CP16">
        <v>5.0762896027995899</v>
      </c>
      <c r="CQ16">
        <v>6.3228660056894199</v>
      </c>
      <c r="CR16">
        <v>17.721560360989098</v>
      </c>
      <c r="CS16">
        <v>14.944751470685301</v>
      </c>
      <c r="CT16">
        <v>20.940210174018699</v>
      </c>
      <c r="CU16">
        <v>1.01661290435902</v>
      </c>
      <c r="CV16">
        <v>0.81235059485252403</v>
      </c>
      <c r="CW16">
        <v>1.2215895540958099</v>
      </c>
      <c r="CX16">
        <v>0.94529093042068701</v>
      </c>
      <c r="CY16">
        <v>0.63345602365049802</v>
      </c>
      <c r="CZ16">
        <v>1.32335300603257</v>
      </c>
      <c r="DA16">
        <v>0.59089786599087002</v>
      </c>
      <c r="DB16">
        <v>0.34228086684702302</v>
      </c>
      <c r="DC16">
        <v>0.83922829138353405</v>
      </c>
      <c r="DD16" t="s">
        <v>66</v>
      </c>
      <c r="DE16" t="s">
        <v>66</v>
      </c>
      <c r="DF16" t="s">
        <v>66</v>
      </c>
      <c r="DG16">
        <v>0.68732508122431202</v>
      </c>
      <c r="DH16">
        <v>0.74976836384785295</v>
      </c>
      <c r="DI16">
        <v>0.22099087722442001</v>
      </c>
      <c r="DJ16">
        <v>0.246568577028142</v>
      </c>
      <c r="DK16">
        <v>9.9178230783970395E-2</v>
      </c>
      <c r="DL16">
        <v>19.393113530914501</v>
      </c>
      <c r="DM16">
        <v>5.47819520274615</v>
      </c>
      <c r="DN16">
        <v>0.13822565057028599</v>
      </c>
      <c r="DO16">
        <v>1.06611193281389E-2</v>
      </c>
      <c r="DP16">
        <v>0.9</v>
      </c>
      <c r="DQ16">
        <v>17.326203208556102</v>
      </c>
      <c r="DR16">
        <v>0.112881334082973</v>
      </c>
      <c r="DS16">
        <v>-0.103296952562212</v>
      </c>
      <c r="DT16">
        <v>2.9240758927726599E-2</v>
      </c>
      <c r="DU16">
        <v>6.0078049808227403E-2</v>
      </c>
      <c r="DY16" s="5">
        <v>6.0000000000000001E-3</v>
      </c>
      <c r="DZ16" s="5">
        <v>6.7999999999999996E-3</v>
      </c>
      <c r="EA16" s="5">
        <v>5.1000000000000004E-3</v>
      </c>
      <c r="EB16">
        <v>15.168759</v>
      </c>
      <c r="EE16">
        <v>2.5528019999999998</v>
      </c>
    </row>
    <row r="17" spans="1:137" x14ac:dyDescent="0.2">
      <c r="A17" t="s">
        <v>103</v>
      </c>
      <c r="B17">
        <v>22.1487016965362</v>
      </c>
      <c r="C17">
        <v>21.735112783937499</v>
      </c>
      <c r="D17">
        <v>22.6455292586054</v>
      </c>
      <c r="E17">
        <v>104.365303915583</v>
      </c>
      <c r="F17">
        <v>99.447982966912903</v>
      </c>
      <c r="G17">
        <v>110.040348483798</v>
      </c>
      <c r="H17">
        <v>0</v>
      </c>
      <c r="I17">
        <v>0</v>
      </c>
      <c r="J17">
        <v>0</v>
      </c>
      <c r="K17">
        <v>126.51400561211901</v>
      </c>
      <c r="L17">
        <v>121.564144259955</v>
      </c>
      <c r="M17">
        <v>132.25819417065799</v>
      </c>
      <c r="N17">
        <v>99.447982966912903</v>
      </c>
      <c r="O17">
        <v>110.040348483798</v>
      </c>
      <c r="P17">
        <v>75.485924456426403</v>
      </c>
      <c r="Q17" s="20">
        <v>68.822649560880294</v>
      </c>
      <c r="R17" s="20">
        <v>83.688108573465499</v>
      </c>
      <c r="S17" s="20">
        <v>0</v>
      </c>
      <c r="T17">
        <v>17.294910308613101</v>
      </c>
      <c r="U17" s="12">
        <v>219.29484037715901</v>
      </c>
      <c r="V17" s="6">
        <v>207.368293775186</v>
      </c>
      <c r="W17" s="6">
        <v>232.048075968826</v>
      </c>
      <c r="X17" s="7">
        <v>1000</v>
      </c>
      <c r="Y17" s="21">
        <v>6.6200512871116196E-2</v>
      </c>
      <c r="Z17" s="21">
        <v>16.353133799999998</v>
      </c>
      <c r="AA17" s="8">
        <v>58.47</v>
      </c>
      <c r="AB17" s="7">
        <v>4755.8021327807501</v>
      </c>
      <c r="AC17" s="7">
        <v>17164</v>
      </c>
      <c r="AD17" s="7">
        <v>152653</v>
      </c>
      <c r="AE17" s="6">
        <v>1.82507693639206</v>
      </c>
      <c r="AF17">
        <v>1052</v>
      </c>
      <c r="AG17">
        <v>998.00599999999997</v>
      </c>
      <c r="AH17">
        <v>540</v>
      </c>
      <c r="AI17">
        <v>166.93299999999999</v>
      </c>
      <c r="AJ17">
        <v>681</v>
      </c>
      <c r="AK17" s="4">
        <v>278</v>
      </c>
      <c r="AL17" s="4"/>
      <c r="AM17" s="4">
        <v>39.443612005149397</v>
      </c>
      <c r="AN17" s="6" t="s">
        <v>37</v>
      </c>
      <c r="AO17" s="11" t="s">
        <v>36</v>
      </c>
      <c r="AP17" s="12">
        <v>20230328</v>
      </c>
      <c r="AQ17" s="12">
        <v>83641</v>
      </c>
      <c r="AR17">
        <v>8.8941939600170201</v>
      </c>
      <c r="AS17">
        <v>0.33531015156350102</v>
      </c>
      <c r="AT17">
        <v>2.21977040043955E-2</v>
      </c>
      <c r="AU17" s="12">
        <v>2.0934440294402001E-3</v>
      </c>
      <c r="AV17" s="2">
        <v>0.34217279368193898</v>
      </c>
      <c r="AW17" s="2">
        <v>0.65782720631806102</v>
      </c>
      <c r="AX17" s="2">
        <v>0</v>
      </c>
      <c r="AY17" s="3">
        <v>4.6571957953990299E-3</v>
      </c>
      <c r="AZ17" s="3">
        <v>4.3978385359294903E-3</v>
      </c>
      <c r="BA17" s="3">
        <v>4.9687511369519398E-3</v>
      </c>
      <c r="BB17" s="3">
        <v>2.1944837274918302E-2</v>
      </c>
      <c r="BC17" s="3">
        <v>1.8861236998581499E-2</v>
      </c>
      <c r="BD17" s="3">
        <v>2.5503598067928099E-2</v>
      </c>
      <c r="BE17" s="3">
        <v>0</v>
      </c>
      <c r="BF17" s="3">
        <v>0</v>
      </c>
      <c r="BG17" s="3">
        <v>0</v>
      </c>
      <c r="BH17" s="3">
        <v>2.6602033070317301E-2</v>
      </c>
      <c r="BI17" s="3">
        <v>2.5561228340859499E-2</v>
      </c>
      <c r="BJ17" s="3">
        <v>2.7809860561487501E-2</v>
      </c>
      <c r="BK17" s="3">
        <v>4.6111010141823498E-2</v>
      </c>
      <c r="BL17" s="3">
        <v>-2.5077886482630001E-3</v>
      </c>
      <c r="BM17" s="3">
        <v>2.6816161050439101E-3</v>
      </c>
      <c r="BN17" s="3">
        <v>4.3603221493560503E-2</v>
      </c>
      <c r="BO17" s="3">
        <v>4.87926262468674E-2</v>
      </c>
      <c r="BP17" s="3">
        <v>1.5872385424977601E-2</v>
      </c>
      <c r="BQ17" s="3">
        <v>1.44713021356587E-2</v>
      </c>
      <c r="BR17" s="3">
        <v>1.7597054342656699E-2</v>
      </c>
      <c r="BS17" s="3">
        <v>0</v>
      </c>
      <c r="BT17" s="3">
        <v>0</v>
      </c>
      <c r="BU17" s="3">
        <v>0</v>
      </c>
      <c r="BV17" s="3">
        <v>3.6365916465285501E-3</v>
      </c>
      <c r="BW17" s="3">
        <v>2.9820051501534099E-3</v>
      </c>
      <c r="BX17" s="3">
        <v>4.2911781429036903E-3</v>
      </c>
      <c r="BY17" s="3">
        <v>1.95089770715061E-2</v>
      </c>
      <c r="BZ17" s="3">
        <v>1.7453307285812101E-2</v>
      </c>
      <c r="CA17" s="3">
        <v>2.1888232485560401E-2</v>
      </c>
      <c r="CB17">
        <v>1.2577563635059401E-2</v>
      </c>
      <c r="CC17" s="3">
        <v>1.1932018985904E-2</v>
      </c>
      <c r="CD17">
        <v>0.77723966828982005</v>
      </c>
      <c r="CE17">
        <v>9404</v>
      </c>
      <c r="CF17">
        <v>5.7422373458102902E-2</v>
      </c>
      <c r="CG17" s="5">
        <v>9.7257632253553994E-3</v>
      </c>
      <c r="CH17" s="5">
        <v>1.77512760527435E-2</v>
      </c>
      <c r="CI17" s="13">
        <v>179.85122837200899</v>
      </c>
      <c r="CJ17" s="13">
        <v>173.18795347646301</v>
      </c>
      <c r="CK17" s="12">
        <v>188.05341248904799</v>
      </c>
      <c r="CL17" s="13">
        <v>179.85122837200899</v>
      </c>
      <c r="CM17" s="13">
        <v>173.18795347646301</v>
      </c>
      <c r="CN17">
        <v>188.05341248904799</v>
      </c>
      <c r="CO17">
        <v>39.443612005149397</v>
      </c>
      <c r="CP17">
        <v>35.9169392370003</v>
      </c>
      <c r="CQ17">
        <v>43.053523422768897</v>
      </c>
      <c r="CR17">
        <v>179.92729458038201</v>
      </c>
      <c r="CS17">
        <v>165.25980352672701</v>
      </c>
      <c r="CT17">
        <v>196.875864489495</v>
      </c>
      <c r="CU17">
        <v>22.333899209629202</v>
      </c>
      <c r="CV17">
        <v>20.041045227841799</v>
      </c>
      <c r="CW17">
        <v>24.937251162659699</v>
      </c>
      <c r="CX17">
        <v>34.9227409174785</v>
      </c>
      <c r="CY17">
        <v>31.384509532087002</v>
      </c>
      <c r="CZ17">
        <v>39.550834216172497</v>
      </c>
      <c r="DA17">
        <v>18.229284329318698</v>
      </c>
      <c r="DB17">
        <v>13.5693122674984</v>
      </c>
      <c r="DC17">
        <v>24.782487927849701</v>
      </c>
      <c r="DD17">
        <v>0</v>
      </c>
      <c r="DE17">
        <v>0</v>
      </c>
      <c r="DF17">
        <v>0</v>
      </c>
      <c r="DG17">
        <v>0.82013381660879703</v>
      </c>
      <c r="DH17">
        <v>0.82013381660879703</v>
      </c>
      <c r="DI17">
        <v>0.179866183391203</v>
      </c>
      <c r="DJ17">
        <v>0.42308641733426</v>
      </c>
      <c r="DK17">
        <v>0.34422003189726602</v>
      </c>
      <c r="DL17">
        <v>126.51400561211901</v>
      </c>
      <c r="DM17">
        <v>4.4396245145234898</v>
      </c>
      <c r="DN17">
        <v>0.50572119659514603</v>
      </c>
      <c r="DO17">
        <v>1.14918517480515E-2</v>
      </c>
      <c r="DP17">
        <v>0.9</v>
      </c>
      <c r="DQ17">
        <v>17.326203208556102</v>
      </c>
      <c r="DR17">
        <v>5.81548512454617E-2</v>
      </c>
      <c r="DS17">
        <v>-5.4391392387237003E-2</v>
      </c>
      <c r="DT17">
        <v>0</v>
      </c>
      <c r="DU17">
        <v>0</v>
      </c>
      <c r="DY17" s="5">
        <v>6.0000000000000001E-3</v>
      </c>
      <c r="DZ17" s="5">
        <v>6.7999999999999996E-3</v>
      </c>
      <c r="EA17" s="5">
        <v>5.1000000000000004E-3</v>
      </c>
    </row>
    <row r="18" spans="1:137" x14ac:dyDescent="0.2">
      <c r="A18" t="s">
        <v>104</v>
      </c>
      <c r="B18">
        <v>13.618145705470001</v>
      </c>
      <c r="C18">
        <v>13.368396166278</v>
      </c>
      <c r="D18">
        <v>13.9063521669501</v>
      </c>
      <c r="E18">
        <v>57.866333529303397</v>
      </c>
      <c r="F18">
        <v>54.508860142550802</v>
      </c>
      <c r="G18">
        <v>61.619503838294399</v>
      </c>
      <c r="H18">
        <v>0</v>
      </c>
      <c r="I18">
        <v>0</v>
      </c>
      <c r="J18">
        <v>0</v>
      </c>
      <c r="K18">
        <v>71.484479234773403</v>
      </c>
      <c r="L18">
        <v>68.148976115226205</v>
      </c>
      <c r="M18">
        <v>75.257285445569593</v>
      </c>
      <c r="N18">
        <v>54.508860142550802</v>
      </c>
      <c r="O18">
        <v>61.619503838294399</v>
      </c>
      <c r="P18">
        <v>37.214472255517897</v>
      </c>
      <c r="Q18" s="20">
        <v>34.109331538220502</v>
      </c>
      <c r="R18" s="20">
        <v>41.354309933394099</v>
      </c>
      <c r="S18" s="20">
        <v>0</v>
      </c>
      <c r="T18">
        <v>13.139792955001001</v>
      </c>
      <c r="U18" s="12">
        <v>121.83874444529199</v>
      </c>
      <c r="V18">
        <v>114.573936285331</v>
      </c>
      <c r="W18" s="6">
        <v>129.61674007174199</v>
      </c>
      <c r="X18" s="7">
        <v>1000</v>
      </c>
      <c r="Y18" s="21">
        <v>7.9024394871581194E-2</v>
      </c>
      <c r="Z18" s="21">
        <v>16.353133799999998</v>
      </c>
      <c r="AA18">
        <v>53.834000000000003</v>
      </c>
      <c r="AB18">
        <v>3613.2165038502699</v>
      </c>
      <c r="AC18">
        <v>7955</v>
      </c>
      <c r="AD18">
        <v>100870</v>
      </c>
      <c r="AE18" s="6">
        <v>1.82507693639206</v>
      </c>
      <c r="AF18">
        <v>922</v>
      </c>
      <c r="AG18">
        <v>875.14800000000002</v>
      </c>
      <c r="AH18">
        <v>447</v>
      </c>
      <c r="AI18">
        <v>117.85899999999999</v>
      </c>
      <c r="AJ18">
        <v>558</v>
      </c>
      <c r="AK18" s="4">
        <v>202</v>
      </c>
      <c r="AL18" s="4"/>
      <c r="AM18" s="4">
        <v>26.757938660471002</v>
      </c>
      <c r="AN18" s="6" t="s">
        <v>37</v>
      </c>
      <c r="AO18" s="11" t="s">
        <v>36</v>
      </c>
      <c r="AP18" s="12">
        <v>20230328</v>
      </c>
      <c r="AQ18" s="12">
        <v>55268</v>
      </c>
      <c r="AR18">
        <v>12.681964203763201</v>
      </c>
      <c r="AS18">
        <v>0.28080622975595598</v>
      </c>
      <c r="AT18">
        <v>2.2190542382634602E-2</v>
      </c>
      <c r="AU18" s="12">
        <v>2.4989707851072601E-3</v>
      </c>
      <c r="AV18" s="2">
        <v>0.39189646560890301</v>
      </c>
      <c r="AW18" s="2">
        <v>0.60810353439109699</v>
      </c>
      <c r="AX18" s="2">
        <v>0</v>
      </c>
      <c r="AY18" s="3">
        <v>3.7689813746168998E-3</v>
      </c>
      <c r="AZ18" s="3">
        <v>3.5228290328222799E-3</v>
      </c>
      <c r="BA18" s="3">
        <v>4.0530367352119602E-3</v>
      </c>
      <c r="BB18" s="3">
        <v>1.60151857680382E-2</v>
      </c>
      <c r="BC18" s="3">
        <v>1.2706070806962301E-2</v>
      </c>
      <c r="BD18" s="3">
        <v>1.9714298341782299E-2</v>
      </c>
      <c r="BE18" s="3">
        <v>0</v>
      </c>
      <c r="BF18" s="3">
        <v>0</v>
      </c>
      <c r="BG18" s="3">
        <v>0</v>
      </c>
      <c r="BH18" s="3">
        <v>1.9784167142655101E-2</v>
      </c>
      <c r="BI18" s="3">
        <v>1.88610275754598E-2</v>
      </c>
      <c r="BJ18" s="3">
        <v>2.08283354638104E-2</v>
      </c>
      <c r="BK18" s="3">
        <v>3.3720299991838301E-2</v>
      </c>
      <c r="BL18" s="3">
        <v>-2.0106207729926199E-3</v>
      </c>
      <c r="BM18" s="3">
        <v>2.15265141686405E-3</v>
      </c>
      <c r="BN18" s="3">
        <v>3.1709679218845703E-2</v>
      </c>
      <c r="BO18" s="3">
        <v>3.5872951408702398E-2</v>
      </c>
      <c r="BP18" s="3">
        <v>1.0299541202654699E-2</v>
      </c>
      <c r="BQ18" s="3">
        <v>9.4401571292153097E-3</v>
      </c>
      <c r="BR18" s="3">
        <v>1.1445289782476799E-2</v>
      </c>
      <c r="BS18" s="3">
        <v>0</v>
      </c>
      <c r="BT18" s="3">
        <v>0</v>
      </c>
      <c r="BU18" s="3">
        <v>0</v>
      </c>
      <c r="BV18" s="3">
        <v>3.6365916465285501E-3</v>
      </c>
      <c r="BW18" s="3">
        <v>2.9820051501534099E-3</v>
      </c>
      <c r="BX18" s="3">
        <v>4.2911781429036903E-3</v>
      </c>
      <c r="BY18" s="3">
        <v>1.39361328491833E-2</v>
      </c>
      <c r="BZ18" s="3">
        <v>1.2422162279368701E-2</v>
      </c>
      <c r="CA18" s="3">
        <v>1.5736467925380498E-2</v>
      </c>
      <c r="CB18">
        <v>1.6682347832380401E-2</v>
      </c>
      <c r="CC18" s="3">
        <v>1.58346240138959E-2</v>
      </c>
      <c r="CD18">
        <v>0.729793735855779</v>
      </c>
      <c r="CE18">
        <v>4358</v>
      </c>
      <c r="CF18">
        <v>0.102569986232217</v>
      </c>
      <c r="CG18" s="5">
        <v>1.4815713387806399E-2</v>
      </c>
      <c r="CH18" s="5">
        <v>2.7044286369894501E-2</v>
      </c>
      <c r="CI18" s="13">
        <v>95.080805784821294</v>
      </c>
      <c r="CJ18" s="13">
        <v>91.975665067523906</v>
      </c>
      <c r="CK18" s="12">
        <v>99.220643462697396</v>
      </c>
      <c r="CL18" s="13">
        <v>95.080805784821294</v>
      </c>
      <c r="CM18" s="13">
        <v>91.975665067523906</v>
      </c>
      <c r="CN18">
        <v>99.220643462697396</v>
      </c>
      <c r="CO18">
        <v>26.757938660471002</v>
      </c>
      <c r="CP18">
        <v>24.1430263893788</v>
      </c>
      <c r="CQ18">
        <v>29.411307853851199</v>
      </c>
      <c r="CR18">
        <v>95.140759082988794</v>
      </c>
      <c r="CS18">
        <v>83.076043013799705</v>
      </c>
      <c r="CT18">
        <v>108.508937877002</v>
      </c>
      <c r="CU18">
        <v>9.5444229627551103</v>
      </c>
      <c r="CV18">
        <v>8.0163724103541796</v>
      </c>
      <c r="CW18">
        <v>11.521330978130001</v>
      </c>
      <c r="CX18">
        <v>24.126112922268799</v>
      </c>
      <c r="CY18">
        <v>22.065040468586201</v>
      </c>
      <c r="CZ18">
        <v>26.9158829009966</v>
      </c>
      <c r="DA18">
        <v>3.5439363704939399</v>
      </c>
      <c r="DB18">
        <v>2.6744616503133698</v>
      </c>
      <c r="DC18">
        <v>6.8036968307183701</v>
      </c>
      <c r="DD18">
        <v>0</v>
      </c>
      <c r="DE18">
        <v>0</v>
      </c>
      <c r="DF18">
        <v>0</v>
      </c>
      <c r="DG18">
        <v>0.780381879027646</v>
      </c>
      <c r="DH18">
        <v>0.780381879027646</v>
      </c>
      <c r="DI18">
        <v>0.219618120972354</v>
      </c>
      <c r="DJ18">
        <v>0.41328554621813801</v>
      </c>
      <c r="DK18">
        <v>0.30543943098005899</v>
      </c>
      <c r="DL18">
        <v>71.484479234773403</v>
      </c>
      <c r="DM18">
        <v>3.8309005754997201</v>
      </c>
      <c r="DN18">
        <v>0.82909970258152099</v>
      </c>
      <c r="DO18">
        <v>1.14918517480515E-2</v>
      </c>
      <c r="DP18">
        <v>0.9</v>
      </c>
      <c r="DQ18">
        <v>17.326203208556102</v>
      </c>
      <c r="DR18">
        <v>6.3840824385552303E-2</v>
      </c>
      <c r="DS18">
        <v>-5.9625542649812902E-2</v>
      </c>
      <c r="DT18">
        <v>0</v>
      </c>
      <c r="DU18">
        <v>0</v>
      </c>
      <c r="DY18" s="5">
        <v>6.0000000000000001E-3</v>
      </c>
      <c r="DZ18" s="5">
        <v>6.7999999999999996E-3</v>
      </c>
      <c r="EA18" s="5">
        <v>5.1000000000000004E-3</v>
      </c>
    </row>
    <row r="19" spans="1:137" x14ac:dyDescent="0.2">
      <c r="A19" t="s">
        <v>105</v>
      </c>
      <c r="B19">
        <v>8.9439569825208398</v>
      </c>
      <c r="C19">
        <v>8.5812302999587207</v>
      </c>
      <c r="D19">
        <v>9.3585012661310891</v>
      </c>
      <c r="E19">
        <v>46.320255861422801</v>
      </c>
      <c r="F19">
        <v>42.8499834238321</v>
      </c>
      <c r="G19">
        <v>50.106980415086298</v>
      </c>
      <c r="H19">
        <v>0</v>
      </c>
      <c r="I19">
        <v>0</v>
      </c>
      <c r="J19">
        <v>0</v>
      </c>
      <c r="K19">
        <v>55.264212843943596</v>
      </c>
      <c r="L19">
        <v>51.752829840795599</v>
      </c>
      <c r="M19">
        <v>59.060329010783597</v>
      </c>
      <c r="N19">
        <v>42.8499834238321</v>
      </c>
      <c r="O19">
        <v>50.106980415086298</v>
      </c>
      <c r="P19">
        <v>38.320203426743099</v>
      </c>
      <c r="Q19" s="20">
        <v>31.7879101674555</v>
      </c>
      <c r="R19" s="20">
        <v>47.375104209620503</v>
      </c>
      <c r="S19" s="20">
        <v>0</v>
      </c>
      <c r="T19">
        <v>4.1551173562375103</v>
      </c>
      <c r="U19" s="12">
        <v>97.739533626924199</v>
      </c>
      <c r="V19">
        <v>89.163126308226296</v>
      </c>
      <c r="W19" s="6">
        <v>107.897000710512</v>
      </c>
      <c r="X19" s="7">
        <v>1000</v>
      </c>
      <c r="Y19" s="21">
        <v>0.112914443367717</v>
      </c>
      <c r="Z19" s="21">
        <v>16.353133799999998</v>
      </c>
      <c r="AA19">
        <v>109.70699999999999</v>
      </c>
      <c r="AB19">
        <v>1142.58562965241</v>
      </c>
      <c r="AC19">
        <v>9209</v>
      </c>
      <c r="AD19">
        <v>51783</v>
      </c>
      <c r="AE19" s="6">
        <v>1.82507693639206</v>
      </c>
      <c r="AF19">
        <v>130</v>
      </c>
      <c r="AG19">
        <v>124.363</v>
      </c>
      <c r="AH19">
        <v>93</v>
      </c>
      <c r="AI19">
        <v>49.05</v>
      </c>
      <c r="AJ19">
        <v>123</v>
      </c>
      <c r="AK19" s="4">
        <v>76</v>
      </c>
      <c r="AL19" s="4"/>
      <c r="AM19" s="4">
        <v>13.0990743387583</v>
      </c>
      <c r="AN19" s="6" t="s">
        <v>37</v>
      </c>
      <c r="AO19" s="11" t="s">
        <v>36</v>
      </c>
      <c r="AP19" s="12">
        <v>20230328</v>
      </c>
      <c r="AQ19" s="12">
        <v>28373</v>
      </c>
      <c r="AR19">
        <v>5.6239841427155604</v>
      </c>
      <c r="AS19">
        <v>0.42167509967254901</v>
      </c>
      <c r="AT19">
        <v>4.7613209161552497E-2</v>
      </c>
      <c r="AU19" s="12">
        <v>3.5706682177207901E-3</v>
      </c>
      <c r="AV19" s="2">
        <v>0.240253601079637</v>
      </c>
      <c r="AW19" s="2">
        <v>0.759746398920362</v>
      </c>
      <c r="AX19" s="2">
        <v>0</v>
      </c>
      <c r="AY19" s="3">
        <v>7.8278220471245906E-3</v>
      </c>
      <c r="AZ19" s="3">
        <v>7.07496453182714E-3</v>
      </c>
      <c r="BA19" s="3">
        <v>8.6882296056066694E-3</v>
      </c>
      <c r="BB19" s="3">
        <v>4.0539855096474599E-2</v>
      </c>
      <c r="BC19" s="3">
        <v>3.3337129710198997E-2</v>
      </c>
      <c r="BD19" s="3">
        <v>4.8399392802523401E-2</v>
      </c>
      <c r="BE19" s="3">
        <v>0</v>
      </c>
      <c r="BF19" s="3">
        <v>0</v>
      </c>
      <c r="BG19" s="3">
        <v>0</v>
      </c>
      <c r="BH19" s="3">
        <v>4.83676771435992E-2</v>
      </c>
      <c r="BI19" s="3">
        <v>4.5294486905580703E-2</v>
      </c>
      <c r="BJ19" s="3">
        <v>5.1690068103473999E-2</v>
      </c>
      <c r="BK19" s="3">
        <v>8.5542414581792195E-2</v>
      </c>
      <c r="BL19" s="3">
        <v>-7.5061396678925496E-3</v>
      </c>
      <c r="BM19" s="3">
        <v>8.8898957067035499E-3</v>
      </c>
      <c r="BN19" s="3">
        <v>7.8036274913899598E-2</v>
      </c>
      <c r="BO19" s="3">
        <v>9.4432310288495705E-2</v>
      </c>
      <c r="BP19" s="3">
        <v>3.3538145791664399E-2</v>
      </c>
      <c r="BQ19" s="3">
        <v>2.78210309516372E-2</v>
      </c>
      <c r="BR19" s="3">
        <v>4.14630667322788E-2</v>
      </c>
      <c r="BS19" s="3">
        <v>0</v>
      </c>
      <c r="BT19" s="3">
        <v>0</v>
      </c>
      <c r="BU19" s="3">
        <v>0</v>
      </c>
      <c r="BV19" s="3">
        <v>3.6365916465285501E-3</v>
      </c>
      <c r="BW19" s="3">
        <v>2.9820051501534099E-3</v>
      </c>
      <c r="BX19" s="3">
        <v>4.2911781429036903E-3</v>
      </c>
      <c r="BY19" s="3">
        <v>3.7174737438192898E-2</v>
      </c>
      <c r="BZ19" s="3">
        <v>3.0803036101790599E-2</v>
      </c>
      <c r="CA19" s="3">
        <v>4.5754244875182502E-2</v>
      </c>
      <c r="CB19">
        <v>4.5818207450745397E-3</v>
      </c>
      <c r="CC19" s="3">
        <v>4.3831459486131201E-3</v>
      </c>
      <c r="CD19">
        <v>0.92333209279367601</v>
      </c>
      <c r="CE19">
        <v>5045</v>
      </c>
      <c r="CF19">
        <v>1.8434093161546102E-2</v>
      </c>
      <c r="CG19" s="5">
        <v>5.32631121728744E-3</v>
      </c>
      <c r="CH19" s="5">
        <v>9.7224975222993098E-3</v>
      </c>
      <c r="CI19" s="13">
        <v>84.6404592881658</v>
      </c>
      <c r="CJ19" s="13">
        <v>78.108166028878301</v>
      </c>
      <c r="CK19" s="12">
        <v>93.695360071043297</v>
      </c>
      <c r="CL19" s="13">
        <v>84.6404592881658</v>
      </c>
      <c r="CM19" s="13">
        <v>78.108166028878301</v>
      </c>
      <c r="CN19">
        <v>93.695360071043297</v>
      </c>
      <c r="CO19">
        <v>13.0990743387583</v>
      </c>
      <c r="CP19">
        <v>11.9884265320735</v>
      </c>
      <c r="CQ19">
        <v>14.2615397464913</v>
      </c>
      <c r="CR19">
        <v>84.692901970614997</v>
      </c>
      <c r="CS19">
        <v>76.434283384132996</v>
      </c>
      <c r="CT19">
        <v>93.697522115855705</v>
      </c>
      <c r="CU19">
        <v>12.806178214234</v>
      </c>
      <c r="CV19">
        <v>11.355719111427801</v>
      </c>
      <c r="CW19">
        <v>14.288721651121801</v>
      </c>
      <c r="CX19">
        <v>10.8812735858794</v>
      </c>
      <c r="CY19">
        <v>8.2420503583065496</v>
      </c>
      <c r="CZ19">
        <v>15.634551824920299</v>
      </c>
      <c r="DA19">
        <v>14.6327516266296</v>
      </c>
      <c r="DB19">
        <v>9.5841243663766207</v>
      </c>
      <c r="DC19">
        <v>22.283186384498801</v>
      </c>
      <c r="DD19">
        <v>0</v>
      </c>
      <c r="DE19">
        <v>0</v>
      </c>
      <c r="DF19">
        <v>0</v>
      </c>
      <c r="DG19">
        <v>0.86597895410575698</v>
      </c>
      <c r="DH19">
        <v>0.86597895410575698</v>
      </c>
      <c r="DI19">
        <v>0.13402104589424299</v>
      </c>
      <c r="DJ19">
        <v>0.43457482521575402</v>
      </c>
      <c r="DK19">
        <v>0.39206234884149799</v>
      </c>
      <c r="DL19">
        <v>55.264212843943596</v>
      </c>
      <c r="DM19">
        <v>5.70534197586354</v>
      </c>
      <c r="DN19">
        <v>0.22647881658124999</v>
      </c>
      <c r="DO19">
        <v>1.14918517480515E-2</v>
      </c>
      <c r="DP19">
        <v>0.9</v>
      </c>
      <c r="DQ19">
        <v>17.326203208556102</v>
      </c>
      <c r="DR19">
        <v>0.10391132342075</v>
      </c>
      <c r="DS19">
        <v>-8.7738922468561104E-2</v>
      </c>
      <c r="DT19">
        <v>0</v>
      </c>
      <c r="DU19">
        <v>0</v>
      </c>
      <c r="DY19" s="5">
        <v>6.0000000000000001E-3</v>
      </c>
      <c r="DZ19" s="5">
        <v>6.7999999999999996E-3</v>
      </c>
      <c r="EA19" s="5">
        <v>5.1000000000000004E-3</v>
      </c>
    </row>
    <row r="20" spans="1:137" x14ac:dyDescent="0.2">
      <c r="A20" t="s">
        <v>134</v>
      </c>
      <c r="B20">
        <v>1.1107842289796499</v>
      </c>
      <c r="C20">
        <v>0.98236924177475105</v>
      </c>
      <c r="D20">
        <v>1.2763472657704</v>
      </c>
      <c r="E20">
        <v>19.430811156618098</v>
      </c>
      <c r="F20">
        <v>15.4503093262779</v>
      </c>
      <c r="G20">
        <v>22.976908426803</v>
      </c>
      <c r="H20">
        <v>0</v>
      </c>
      <c r="I20">
        <v>0</v>
      </c>
      <c r="J20">
        <v>0</v>
      </c>
      <c r="K20">
        <v>20.541595385597802</v>
      </c>
      <c r="L20">
        <v>16.581193446770399</v>
      </c>
      <c r="M20">
        <v>24.063486552379</v>
      </c>
      <c r="N20">
        <v>15.4503093262779</v>
      </c>
      <c r="O20">
        <v>22.976908426803</v>
      </c>
      <c r="P20">
        <v>8.3888536715372197</v>
      </c>
      <c r="Q20" s="20">
        <v>5.8558224726346904</v>
      </c>
      <c r="R20" s="20">
        <v>11.1466414733019</v>
      </c>
      <c r="S20" s="20">
        <v>0</v>
      </c>
      <c r="T20">
        <v>9.0260915871393905</v>
      </c>
      <c r="U20" s="12">
        <v>37.956540644274398</v>
      </c>
      <c r="V20">
        <v>31.826935995633999</v>
      </c>
      <c r="W20" s="6">
        <v>43.925989740778697</v>
      </c>
      <c r="X20" s="7">
        <v>1000</v>
      </c>
      <c r="Y20" s="21">
        <v>7.3058183163066601E-2</v>
      </c>
      <c r="Z20" s="21">
        <v>495.44525599999997</v>
      </c>
      <c r="AA20">
        <v>495.44525599999997</v>
      </c>
      <c r="AB20">
        <v>5095.6287949732596</v>
      </c>
      <c r="AC20">
        <v>2996</v>
      </c>
      <c r="AD20">
        <v>4039</v>
      </c>
      <c r="AE20" s="6">
        <v>1.2580446390776701</v>
      </c>
      <c r="AF20">
        <v>12</v>
      </c>
      <c r="AG20">
        <v>11</v>
      </c>
      <c r="AH20">
        <v>12</v>
      </c>
      <c r="AI20">
        <v>11.47</v>
      </c>
      <c r="AJ20">
        <v>0</v>
      </c>
      <c r="AK20" s="4">
        <v>0</v>
      </c>
      <c r="AL20" s="4"/>
      <c r="AM20" s="4">
        <v>10.136875816119</v>
      </c>
      <c r="AN20" s="6" t="s">
        <v>37</v>
      </c>
      <c r="AO20" s="11" t="s">
        <v>36</v>
      </c>
      <c r="AP20" s="12">
        <v>20230328</v>
      </c>
      <c r="AQ20" s="12">
        <v>3210</v>
      </c>
      <c r="AR20">
        <v>1.3481730365392699</v>
      </c>
      <c r="AS20">
        <v>0.86124592787809695</v>
      </c>
      <c r="AT20">
        <v>6.2921062747363296E-2</v>
      </c>
      <c r="AU20" s="12">
        <v>2.3103026050905499E-3</v>
      </c>
      <c r="AV20" s="2">
        <v>2.0145113813327599E-2</v>
      </c>
      <c r="AW20" s="2">
        <v>0.97985488618667305</v>
      </c>
      <c r="AX20" s="2">
        <v>0</v>
      </c>
      <c r="AY20" s="3">
        <v>2.1798766622784901E-4</v>
      </c>
      <c r="AZ20" s="3">
        <v>1.8872655949820201E-4</v>
      </c>
      <c r="BA20" s="3">
        <v>2.5571346284603301E-4</v>
      </c>
      <c r="BB20" s="3">
        <v>3.8132312887049899E-3</v>
      </c>
      <c r="BC20" s="3">
        <v>2.9062196428657201E-3</v>
      </c>
      <c r="BD20" s="3">
        <v>4.6212579291704699E-3</v>
      </c>
      <c r="BE20" s="3">
        <v>0</v>
      </c>
      <c r="BF20" s="3">
        <v>0</v>
      </c>
      <c r="BG20" s="3">
        <v>0</v>
      </c>
      <c r="BH20" s="3">
        <v>4.0312189549328303E-3</v>
      </c>
      <c r="BI20" s="3">
        <v>3.2540034044723598E-3</v>
      </c>
      <c r="BJ20" s="3">
        <v>4.72237824233138E-3</v>
      </c>
      <c r="BK20" s="3">
        <v>7.4488433462260402E-3</v>
      </c>
      <c r="BL20" s="3">
        <v>-1.20291428109661E-3</v>
      </c>
      <c r="BM20" s="3">
        <v>1.1714842930460501E-3</v>
      </c>
      <c r="BN20" s="3">
        <v>6.2459290651294304E-3</v>
      </c>
      <c r="BO20" s="3">
        <v>8.6203276392720907E-3</v>
      </c>
      <c r="BP20" s="3">
        <v>1.64628429759496E-3</v>
      </c>
      <c r="BQ20" s="3">
        <v>1.14918545055938E-3</v>
      </c>
      <c r="BR20" s="3">
        <v>2.1874908714500201E-3</v>
      </c>
      <c r="BS20" s="3">
        <v>0</v>
      </c>
      <c r="BT20" s="3">
        <v>0</v>
      </c>
      <c r="BU20" s="3">
        <v>0</v>
      </c>
      <c r="BV20" s="3">
        <v>1.7713400936982401E-3</v>
      </c>
      <c r="BW20" s="3">
        <v>1.4524988768325601E-3</v>
      </c>
      <c r="BX20" s="3">
        <v>2.09018131056393E-3</v>
      </c>
      <c r="BY20" s="3">
        <v>3.4176243912931998E-3</v>
      </c>
      <c r="BZ20" s="3">
        <v>2.6016843273919399E-3</v>
      </c>
      <c r="CA20" s="3">
        <v>4.2776721820139496E-3</v>
      </c>
      <c r="CB20">
        <v>3.7383177570093499E-3</v>
      </c>
      <c r="CC20" s="3">
        <v>3.42679127725857E-3</v>
      </c>
      <c r="CD20">
        <v>1</v>
      </c>
      <c r="CE20">
        <v>2381</v>
      </c>
      <c r="CF20">
        <v>5.03989920201596E-3</v>
      </c>
      <c r="CG20" s="5">
        <v>3.82843791722296E-3</v>
      </c>
      <c r="CH20" s="5">
        <v>4.8173036539269198E-3</v>
      </c>
      <c r="CI20" s="13">
        <v>27.8196648281553</v>
      </c>
      <c r="CJ20" s="13">
        <v>25.286633629252801</v>
      </c>
      <c r="CK20" s="12">
        <v>30.57745262992</v>
      </c>
      <c r="CL20" s="13">
        <v>27.8196648281553</v>
      </c>
      <c r="CM20" s="13">
        <v>25.286633629252801</v>
      </c>
      <c r="CN20">
        <v>30.57745262992</v>
      </c>
      <c r="CO20">
        <v>10.136875816119</v>
      </c>
      <c r="CP20">
        <v>8.3837643432290498</v>
      </c>
      <c r="CQ20">
        <v>11.927135338594899</v>
      </c>
      <c r="CR20">
        <v>28.133482502809098</v>
      </c>
      <c r="CS20">
        <v>23.695833468015199</v>
      </c>
      <c r="CT20">
        <v>32.175263016727797</v>
      </c>
      <c r="CU20">
        <v>1.38836667292827</v>
      </c>
      <c r="CV20">
        <v>0.41255718671605701</v>
      </c>
      <c r="CW20">
        <v>2.5487710166534101</v>
      </c>
      <c r="CX20">
        <v>6.9026292683377104</v>
      </c>
      <c r="CY20">
        <v>4.7297497268791</v>
      </c>
      <c r="CZ20">
        <v>9.3505774957798309</v>
      </c>
      <c r="DA20">
        <v>9.7857730271244295E-2</v>
      </c>
      <c r="DB20">
        <v>1.3578158563741999E-2</v>
      </c>
      <c r="DC20">
        <v>0.39998093738809398</v>
      </c>
      <c r="DD20">
        <v>0</v>
      </c>
      <c r="DE20">
        <v>0</v>
      </c>
      <c r="DF20">
        <v>0</v>
      </c>
      <c r="DG20">
        <v>0.73293438048274495</v>
      </c>
      <c r="DH20">
        <v>0.73293438048274495</v>
      </c>
      <c r="DI20">
        <v>0.26706561951725499</v>
      </c>
      <c r="DJ20">
        <v>0.45881194906670197</v>
      </c>
      <c r="DK20">
        <v>0.22101087474676301</v>
      </c>
      <c r="DL20">
        <v>20.541595385597802</v>
      </c>
      <c r="DM20">
        <v>18.493791942011502</v>
      </c>
      <c r="DN20">
        <v>2.1401212914629402</v>
      </c>
      <c r="DO20">
        <v>5.4988291489690196E-3</v>
      </c>
      <c r="DP20">
        <v>0.9</v>
      </c>
      <c r="DQ20">
        <v>17.326203208556102</v>
      </c>
      <c r="DR20">
        <v>0.157274902891371</v>
      </c>
      <c r="DS20">
        <v>-0.161491209627559</v>
      </c>
      <c r="DT20">
        <v>0</v>
      </c>
      <c r="DU20">
        <v>0</v>
      </c>
      <c r="DY20" s="5">
        <v>3.0999999999999999E-3</v>
      </c>
      <c r="DZ20" s="5">
        <v>3.5000000000000001E-3</v>
      </c>
      <c r="EA20" s="5">
        <v>2.5999999999999999E-3</v>
      </c>
    </row>
    <row r="21" spans="1:137" x14ac:dyDescent="0.2">
      <c r="A21" t="s">
        <v>74</v>
      </c>
      <c r="W21" s="4"/>
      <c r="X21" s="7"/>
      <c r="AK21" s="11">
        <v>1</v>
      </c>
      <c r="AL21" s="11"/>
      <c r="AM21" s="4"/>
      <c r="AN21" s="6"/>
      <c r="AO21" s="6"/>
      <c r="AP21" s="6"/>
      <c r="AQ21" s="6"/>
      <c r="AU21" s="12">
        <v>4.7999999999999996E-3</v>
      </c>
      <c r="AV21" s="2"/>
      <c r="AW21" s="2"/>
      <c r="AX21" s="2"/>
      <c r="AY21" s="3">
        <f>BH21</f>
        <v>4.9420000000000002E-3</v>
      </c>
      <c r="AZ21" s="3">
        <f t="shared" ref="AZ21:BA21" si="0">BI21</f>
        <v>3.9430225921521997E-3</v>
      </c>
      <c r="BA21" s="3">
        <f t="shared" si="0"/>
        <v>5.9850499405469677E-3</v>
      </c>
      <c r="BH21" s="3">
        <v>4.9420000000000002E-3</v>
      </c>
      <c r="BI21" s="5">
        <f>$BH$21+BL21*$BH$21/$BK$21</f>
        <v>3.9430225921521997E-3</v>
      </c>
      <c r="BJ21" s="5">
        <f>$BH$21+BM21*$BH$21/$BK$21</f>
        <v>5.9850499405469677E-3</v>
      </c>
      <c r="BK21" s="3">
        <f>BH21+BV21</f>
        <v>1.0092E-2</v>
      </c>
      <c r="BL21" s="3">
        <v>-2.0400000000000001E-3</v>
      </c>
      <c r="BM21" s="3">
        <v>2.1299999999999999E-3</v>
      </c>
      <c r="BN21" s="3">
        <f>BK21+BL21</f>
        <v>8.0520000000000001E-3</v>
      </c>
      <c r="BO21" s="3">
        <f>BK21+BM21</f>
        <v>1.2222E-2</v>
      </c>
      <c r="BP21" s="3"/>
      <c r="BQ21" s="3"/>
      <c r="BR21" s="3"/>
      <c r="BS21" s="3"/>
      <c r="BU21"/>
      <c r="BV21" s="3">
        <v>5.1500000000000001E-3</v>
      </c>
      <c r="BW21" s="5">
        <f>$BV$21+BL21*$BV$21/$BK$21</f>
        <v>4.1089774078478004E-3</v>
      </c>
      <c r="BX21" s="5">
        <f>$BV$21+BM21*$BV$21/$BK$21</f>
        <v>6.2369500594530326E-3</v>
      </c>
      <c r="BY21"/>
    </row>
    <row r="22" spans="1:137" x14ac:dyDescent="0.2">
      <c r="A22" t="s">
        <v>111</v>
      </c>
      <c r="W22" s="4"/>
      <c r="X22" s="7"/>
      <c r="AK22" s="11"/>
      <c r="AL22" s="11"/>
      <c r="AM22" s="4"/>
      <c r="AN22" s="6"/>
      <c r="AO22" s="6"/>
      <c r="AP22" s="6"/>
      <c r="AQ22" s="6"/>
      <c r="AU22" s="3"/>
      <c r="AV22" s="2"/>
      <c r="AW22" s="2"/>
      <c r="AX22" s="2"/>
      <c r="AY22" s="2"/>
      <c r="AZ22" s="2"/>
      <c r="BA22" s="2"/>
      <c r="BB22" s="3"/>
      <c r="BC22" s="3"/>
      <c r="BD22" s="2"/>
      <c r="BE22" s="2"/>
      <c r="BF22" s="3"/>
      <c r="BG22" s="3"/>
      <c r="BH22" s="3"/>
      <c r="BI22" s="3"/>
      <c r="BJ22" s="3"/>
      <c r="BK22" s="3"/>
      <c r="BL22" s="3"/>
      <c r="BN22" s="7"/>
      <c r="BO22" s="3"/>
      <c r="BP22" s="3"/>
      <c r="BQ22" s="3"/>
      <c r="BS22"/>
      <c r="BT22"/>
      <c r="BU22"/>
      <c r="BV22"/>
      <c r="BW22"/>
      <c r="BX22"/>
      <c r="BY22"/>
    </row>
    <row r="23" spans="1:137" x14ac:dyDescent="0.2">
      <c r="A23" t="s">
        <v>112</v>
      </c>
      <c r="W23" s="4"/>
      <c r="X23" s="7"/>
      <c r="AK23" s="11"/>
      <c r="AL23" s="11"/>
      <c r="AM23" s="4"/>
      <c r="AN23" s="6"/>
      <c r="AO23" s="6"/>
      <c r="AP23" s="6"/>
      <c r="AQ23" s="6"/>
      <c r="AU23" s="3"/>
      <c r="AV23" s="2"/>
      <c r="AW23" s="2"/>
      <c r="AX23" s="2"/>
      <c r="AY23" s="2"/>
      <c r="AZ23" s="2"/>
      <c r="BA23" s="2"/>
      <c r="BB23" s="3"/>
      <c r="BC23" s="3"/>
      <c r="BD23" s="2"/>
      <c r="BE23" s="2"/>
      <c r="BF23" s="3"/>
      <c r="BG23" s="3"/>
      <c r="BH23" s="3"/>
      <c r="BI23" s="3"/>
      <c r="BJ23" s="3"/>
      <c r="BK23" s="3"/>
      <c r="BL23" s="3"/>
      <c r="BN23" s="7"/>
      <c r="BO23" s="3"/>
      <c r="BP23" s="3"/>
      <c r="BQ23" s="3"/>
      <c r="BS23"/>
      <c r="BT23"/>
      <c r="BU23"/>
      <c r="BV23"/>
      <c r="BW23"/>
      <c r="BX23"/>
      <c r="BY23"/>
    </row>
    <row r="24" spans="1:137" x14ac:dyDescent="0.2">
      <c r="A24" t="s">
        <v>113</v>
      </c>
      <c r="W24" s="4"/>
      <c r="X24" s="7"/>
      <c r="AK24" s="11"/>
      <c r="AL24" s="11"/>
      <c r="AM24" s="4"/>
      <c r="AN24" s="6"/>
      <c r="AO24" s="6"/>
      <c r="AP24" s="6"/>
      <c r="AQ24" s="6"/>
      <c r="AU24" s="3"/>
      <c r="AV24" s="2"/>
      <c r="AW24" s="2"/>
      <c r="AX24" s="2"/>
      <c r="AY24" s="2"/>
      <c r="AZ24" s="2"/>
      <c r="BA24" s="2"/>
      <c r="BB24" s="3"/>
      <c r="BC24" s="3"/>
      <c r="BD24" s="2"/>
      <c r="BE24" s="2"/>
      <c r="BF24" s="3"/>
      <c r="BG24" s="3"/>
      <c r="BH24" s="3"/>
      <c r="BI24" s="3"/>
      <c r="BJ24" s="3"/>
      <c r="BK24" s="3"/>
      <c r="BL24" s="3"/>
      <c r="BN24" s="7"/>
      <c r="BO24" s="3"/>
      <c r="BP24" s="3"/>
      <c r="BQ24" s="3"/>
      <c r="BS24"/>
      <c r="BT24"/>
      <c r="BU24"/>
      <c r="BV24"/>
      <c r="BW24"/>
      <c r="BX24"/>
      <c r="BY24"/>
    </row>
    <row r="25" spans="1:137" x14ac:dyDescent="0.2">
      <c r="A25" t="s">
        <v>115</v>
      </c>
      <c r="W25" s="4"/>
      <c r="X25" s="7"/>
      <c r="AK25" s="11"/>
      <c r="AL25" s="11"/>
      <c r="AM25" s="4"/>
      <c r="AN25" s="6"/>
      <c r="AO25" s="6"/>
      <c r="AP25" s="6"/>
      <c r="AQ25" s="6"/>
      <c r="AU25" s="3"/>
      <c r="AV25" s="2"/>
      <c r="AW25" s="2"/>
      <c r="AX25" s="2"/>
      <c r="AY25" s="2"/>
      <c r="AZ25" s="2"/>
      <c r="BA25" s="2"/>
      <c r="BB25" s="3"/>
      <c r="BC25" s="3"/>
      <c r="BD25" s="2"/>
      <c r="BE25" s="2"/>
      <c r="BF25" s="3"/>
      <c r="BG25" s="3"/>
      <c r="BH25" s="3"/>
      <c r="BI25" s="3"/>
      <c r="BJ25" s="3"/>
      <c r="BK25" s="3"/>
      <c r="BL25" s="3"/>
      <c r="BN25" s="7"/>
      <c r="BO25" s="3"/>
      <c r="BP25" s="3"/>
      <c r="BQ25" s="3"/>
      <c r="BS25"/>
      <c r="BT25"/>
      <c r="BU25"/>
      <c r="BV25"/>
      <c r="BW25"/>
      <c r="BX25"/>
      <c r="BY25"/>
    </row>
    <row r="26" spans="1:137" x14ac:dyDescent="0.2">
      <c r="A26" t="s">
        <v>114</v>
      </c>
      <c r="AA26" t="s">
        <v>83</v>
      </c>
      <c r="AB26" s="14">
        <f>AB27/AB30</f>
        <v>0.28137144015196247</v>
      </c>
      <c r="AQ26" s="11"/>
      <c r="AR26" s="4"/>
      <c r="AS26" s="6"/>
      <c r="AT26" s="6"/>
      <c r="AU26" s="6"/>
      <c r="AV26" s="6"/>
      <c r="AZ26" s="3"/>
      <c r="BA26" s="2"/>
      <c r="BB26" s="2"/>
      <c r="BC26" s="2"/>
      <c r="BD26" s="2"/>
      <c r="BE26" s="2"/>
      <c r="BF26" s="2"/>
      <c r="BG26" s="3"/>
      <c r="BH26" s="3"/>
      <c r="BI26" s="2"/>
      <c r="BJ26" s="2"/>
      <c r="BK26" s="3"/>
      <c r="BL26" s="3"/>
      <c r="BM26" s="3"/>
      <c r="BN26" s="3"/>
      <c r="BO26" s="3"/>
      <c r="BP26" s="3"/>
      <c r="BQ26" s="3"/>
      <c r="BS26" s="7"/>
      <c r="BT26" s="3"/>
      <c r="BU26" s="3"/>
      <c r="BV26" s="3"/>
      <c r="BW26"/>
      <c r="BX26"/>
      <c r="BY26"/>
    </row>
    <row r="27" spans="1:137" x14ac:dyDescent="0.2">
      <c r="A27" t="s">
        <v>51</v>
      </c>
      <c r="C27" s="10"/>
      <c r="D27" s="19"/>
      <c r="K27" s="10">
        <f>K3+K7+K13+K14+K15+K16</f>
        <v>411.35418719016616</v>
      </c>
      <c r="L27" s="10">
        <f>L3+L7+L13+L14+L15+L16</f>
        <v>390.59789304890791</v>
      </c>
      <c r="M27" s="10">
        <f>M3+M7+M13+M14+M15+M16</f>
        <v>433.16125161768883</v>
      </c>
      <c r="N27" s="10">
        <f t="shared" ref="N27:T27" si="1">N3+N7+N13+N14+N15+N16</f>
        <v>279.87040124272517</v>
      </c>
      <c r="O27" s="10">
        <f t="shared" si="1"/>
        <v>322.03284407623335</v>
      </c>
      <c r="P27" s="10">
        <f t="shared" si="1"/>
        <v>232.44905197357434</v>
      </c>
      <c r="Q27" s="10">
        <f t="shared" si="1"/>
        <v>214.43614965035775</v>
      </c>
      <c r="R27" s="10">
        <f t="shared" si="1"/>
        <v>253.32191222083031</v>
      </c>
      <c r="S27" s="10">
        <f t="shared" si="1"/>
        <v>1.60727078702999</v>
      </c>
      <c r="T27" s="10">
        <f t="shared" si="1"/>
        <v>67.289424469108525</v>
      </c>
      <c r="U27" s="10">
        <f>U3+U7+U13+U14+U15+U16</f>
        <v>712.69993441987992</v>
      </c>
      <c r="V27" s="10">
        <f t="shared" ref="V27:W27" si="2">V3+V7+V13+V14+V15+V16</f>
        <v>671.65113485955567</v>
      </c>
      <c r="W27" s="10">
        <f t="shared" si="2"/>
        <v>755.79972472710938</v>
      </c>
      <c r="AB27" s="10">
        <f t="shared" ref="AB27:AD27" si="3">AB3+AB7+AB13+AB14+AB15+AB16</f>
        <v>23994.401100569525</v>
      </c>
      <c r="AC27" s="10">
        <f t="shared" si="3"/>
        <v>170569</v>
      </c>
      <c r="AD27" s="10">
        <f t="shared" si="3"/>
        <v>549072</v>
      </c>
      <c r="AI27" s="10">
        <f t="shared" ref="AI27" si="4">AI3+AI7+AI13+AI14+AI15+AI16</f>
        <v>601.40899999999999</v>
      </c>
      <c r="AJ27" s="10"/>
      <c r="AK27" s="10"/>
      <c r="AL27" s="10"/>
      <c r="AQ27" s="11">
        <v>1</v>
      </c>
      <c r="AR27" s="10">
        <f t="shared" ref="AR27" si="5">AR3+AR7+AR13+AR14+AR15+AR16</f>
        <v>18.606750862182061</v>
      </c>
      <c r="AS27">
        <f>AD27/AC27</f>
        <v>3.219060907902374</v>
      </c>
      <c r="BF27" s="3">
        <f>U27/$AB27</f>
        <v>2.9702759882719618E-2</v>
      </c>
      <c r="BG27" s="3">
        <f>V27/$AB27</f>
        <v>2.7991994134148802E-2</v>
      </c>
      <c r="BH27" s="3">
        <f>W27/$AB27</f>
        <v>3.1499003519999083E-2</v>
      </c>
      <c r="BS27" s="10">
        <f t="shared" ref="BS27" si="6">BS3+BS7+BS13+BS14+BS15+BS16</f>
        <v>2.5245063937993101E-3</v>
      </c>
      <c r="BT27"/>
      <c r="BU27"/>
      <c r="BV27" s="3">
        <f>AI27/BS27</f>
        <v>238228.35286818055</v>
      </c>
      <c r="BW27" s="10">
        <f t="shared" ref="BW27" si="7">BW3+BW7+BW13+BW14+BW15+BW16</f>
        <v>1.6581009126096051E-2</v>
      </c>
      <c r="BX27" s="12"/>
      <c r="BY27" s="12"/>
      <c r="BZ27" s="12"/>
      <c r="CA27" s="12"/>
      <c r="CB27" s="12"/>
      <c r="CC27" s="12"/>
      <c r="CD27" s="12"/>
      <c r="CI27" s="10">
        <f>CI3+CI7+CI13+CI14+CI15+CI16</f>
        <v>532.80989943278382</v>
      </c>
      <c r="EB27" s="10">
        <f>EB3+EB7+EB13+EB14+EB15+EB16</f>
        <v>301.69079900000003</v>
      </c>
      <c r="EC27" s="10">
        <f t="shared" ref="EC27:ED27" si="8">EC3+EC7+EC13+EC14+EC15+EC16</f>
        <v>0</v>
      </c>
      <c r="ED27" s="10">
        <f t="shared" si="8"/>
        <v>0</v>
      </c>
      <c r="EE27" s="10">
        <f>EE3+EE7+EE13+EE14+EE15+EE16</f>
        <v>232.44905199999999</v>
      </c>
      <c r="EF27" s="10">
        <f t="shared" ref="EF27:EG27" si="9">EF3+EF7+EF13+EF14+EF15+EF16</f>
        <v>0</v>
      </c>
      <c r="EG27" s="10">
        <f t="shared" si="9"/>
        <v>0</v>
      </c>
    </row>
    <row r="28" spans="1:137" x14ac:dyDescent="0.2">
      <c r="A28" t="s">
        <v>52</v>
      </c>
      <c r="O28" t="s">
        <v>254</v>
      </c>
      <c r="P28" s="10">
        <f>P27+S27+T27</f>
        <v>301.34574722971286</v>
      </c>
      <c r="U28">
        <f>SUM(U2:U16)</f>
        <v>1358.8296142659506</v>
      </c>
      <c r="V28">
        <f t="shared" ref="V28:W28" si="10">SUM(V2:V16)</f>
        <v>1270.1973579874236</v>
      </c>
      <c r="W28">
        <f t="shared" si="10"/>
        <v>1454.3520776785908</v>
      </c>
      <c r="AB28">
        <f t="shared" ref="AB28:AD28" si="11">SUM(AB2:AB16)</f>
        <v>45847.976112745993</v>
      </c>
      <c r="AC28">
        <f t="shared" si="11"/>
        <v>398499</v>
      </c>
      <c r="AD28">
        <f t="shared" si="11"/>
        <v>1714261</v>
      </c>
      <c r="AI28">
        <f>SUM(AI2:AI16)</f>
        <v>1286.8579999999999</v>
      </c>
      <c r="AQ28" s="11">
        <v>1</v>
      </c>
      <c r="AR28">
        <f>SUM(AR2:AR16)</f>
        <v>62.970182045019286</v>
      </c>
      <c r="AS28" s="10">
        <f>AR28/BS27</f>
        <v>24943.562115622513</v>
      </c>
      <c r="BF28" s="3">
        <f>U28/$AB28</f>
        <v>2.9637722959120726E-2</v>
      </c>
      <c r="BG28" s="3">
        <f>V28/$AB28</f>
        <v>2.7704545885817229E-2</v>
      </c>
      <c r="BH28" s="3">
        <f>W28/$AB28</f>
        <v>3.1721183811956155E-2</v>
      </c>
      <c r="BS28">
        <f>SUM(BS2:BS16)</f>
        <v>4.8716079325266202E-3</v>
      </c>
      <c r="BT28"/>
      <c r="BU28"/>
      <c r="BV28" s="3">
        <f>AI28/BS28</f>
        <v>264154.67291773239</v>
      </c>
      <c r="BW28" s="3"/>
      <c r="BX28" s="12"/>
      <c r="BY28" s="12"/>
      <c r="BZ28" s="12"/>
      <c r="CA28" s="12"/>
      <c r="CB28" s="12"/>
      <c r="CC28" s="12"/>
      <c r="CD28" s="12"/>
      <c r="CH28" t="s">
        <v>140</v>
      </c>
      <c r="CI28">
        <f>CI27/U27</f>
        <v>0.74759358560412648</v>
      </c>
      <c r="EA28" t="s">
        <v>140</v>
      </c>
      <c r="EB28">
        <f>EB27/K27</f>
        <v>0.73340884423896846</v>
      </c>
      <c r="EE28">
        <f>EE27/P28</f>
        <v>0.77136994345172027</v>
      </c>
    </row>
    <row r="29" spans="1:137" x14ac:dyDescent="0.2">
      <c r="A29" t="s">
        <v>118</v>
      </c>
      <c r="U29">
        <f>U3+U7+U13+U15+U16</f>
        <v>636.35100379326377</v>
      </c>
      <c r="V29">
        <f>V3+V7+V13+V15+V16</f>
        <v>604.59373698795321</v>
      </c>
      <c r="W29">
        <f>W3+W7+W13+W15+W16</f>
        <v>669.47151686098573</v>
      </c>
      <c r="AB29">
        <f>AB3+AB7+AB13+AB15+AB16</f>
        <v>13751.921061264726</v>
      </c>
      <c r="BF29" s="3">
        <f>U29/$AB29</f>
        <v>4.6273607953268771E-2</v>
      </c>
      <c r="BG29" s="3">
        <f>V29/$AB29</f>
        <v>4.3964311189287064E-2</v>
      </c>
      <c r="BH29" s="3">
        <f>W29/$AB29</f>
        <v>4.8682036049981246E-2</v>
      </c>
      <c r="BS29"/>
      <c r="BT29"/>
      <c r="BU29"/>
      <c r="BV29"/>
      <c r="BW29"/>
      <c r="BZ29" s="13"/>
      <c r="CA29" s="13"/>
      <c r="CB29" s="13"/>
      <c r="CC29" s="13"/>
      <c r="CD29" s="13"/>
    </row>
    <row r="30" spans="1:137" x14ac:dyDescent="0.2">
      <c r="T30" t="s">
        <v>121</v>
      </c>
      <c r="U30">
        <v>1500</v>
      </c>
      <c r="AA30" t="s">
        <v>84</v>
      </c>
      <c r="AB30">
        <v>85276.604788356199</v>
      </c>
      <c r="BS30"/>
      <c r="BT30"/>
      <c r="BU30"/>
      <c r="BV30"/>
      <c r="BW30"/>
      <c r="BY30" s="1"/>
      <c r="BZ30" s="13"/>
      <c r="CA30" s="13"/>
      <c r="CB30" s="13"/>
      <c r="CC30" s="13"/>
      <c r="CD30" s="13"/>
      <c r="CP30" t="s">
        <v>139</v>
      </c>
      <c r="CQ30">
        <f>0.7303</f>
        <v>0.73029999999999995</v>
      </c>
    </row>
    <row r="31" spans="1:137" x14ac:dyDescent="0.2">
      <c r="A31" t="s">
        <v>108</v>
      </c>
      <c r="T31" t="s">
        <v>122</v>
      </c>
      <c r="U31">
        <v>8760</v>
      </c>
      <c r="AC31" s="10">
        <f>SUM(Y2:Y6)</f>
        <v>0.2511573027831836</v>
      </c>
      <c r="AD31" s="10">
        <f>SUM(Z2:Z6)</f>
        <v>65.37911787111284</v>
      </c>
      <c r="AF31" s="10">
        <f>SUM(AB2:AB6)</f>
        <v>29423.656768716588</v>
      </c>
      <c r="AG31" s="10">
        <f>SUM(AC2:AC6)</f>
        <v>162037</v>
      </c>
      <c r="AH31" s="10">
        <f>SUM(AD2:AD6)</f>
        <v>643575</v>
      </c>
      <c r="AI31" s="10">
        <f>SUM(AE2:AE6)</f>
        <v>8.5003077455682394</v>
      </c>
      <c r="AJ31" s="10">
        <f>SUM(AF2:AF6)</f>
        <v>4062</v>
      </c>
      <c r="AK31" s="10">
        <f>SUM(AG2:AG6)</f>
        <v>3804.7560000000003</v>
      </c>
      <c r="AL31" s="10"/>
      <c r="AR31" s="10">
        <f>SUM(AM2:AM6)</f>
        <v>272.01527277661404</v>
      </c>
      <c r="AS31">
        <f>AR31/BS31</f>
        <v>1313.681664293031</v>
      </c>
      <c r="BS31" s="10">
        <f>SUM(BN2:BN6)</f>
        <v>0.20706330930104089</v>
      </c>
      <c r="BT31"/>
      <c r="BU31"/>
      <c r="BV31"/>
      <c r="BW31"/>
      <c r="BY31" s="1"/>
      <c r="BZ31" s="13"/>
      <c r="CA31" s="13"/>
      <c r="CB31" s="13"/>
      <c r="CC31" s="13"/>
      <c r="CD31" s="13"/>
    </row>
    <row r="32" spans="1:137" x14ac:dyDescent="0.2">
      <c r="A32" t="s">
        <v>109</v>
      </c>
      <c r="T32" t="s">
        <v>131</v>
      </c>
      <c r="U32">
        <v>82.5</v>
      </c>
      <c r="V32" t="s">
        <v>132</v>
      </c>
      <c r="W32" t="s">
        <v>133</v>
      </c>
      <c r="AC32" s="10">
        <f>SUM(Y7:Y11)</f>
        <v>0.67541901240429048</v>
      </c>
      <c r="AD32" s="10">
        <f>SUM(Z7:Z11)</f>
        <v>80.237423199999995</v>
      </c>
      <c r="AF32" s="10">
        <f>SUM(AB7:AB11)</f>
        <v>1224.3124374545469</v>
      </c>
      <c r="AG32" s="10">
        <f>SUM(AC7:AC11)</f>
        <v>180339</v>
      </c>
      <c r="AH32" s="10">
        <f>SUM(AD7:AD11)</f>
        <v>870400</v>
      </c>
      <c r="AI32" s="10">
        <f>SUM(AE7:AE11)</f>
        <v>9.4819814098216195</v>
      </c>
      <c r="AJ32" s="10">
        <f>SUM(AF7:AF11)</f>
        <v>352</v>
      </c>
      <c r="AK32" s="10">
        <f>SUM(AG7:AG11)</f>
        <v>326.16800000000001</v>
      </c>
      <c r="AL32" s="10"/>
      <c r="AR32" s="10">
        <f>SUM(AM7:AM11)</f>
        <v>15.645908719572068</v>
      </c>
      <c r="AS32">
        <f t="shared" ref="AS32:AS34" si="12">AR32/BS32</f>
        <v>86.782189788381828</v>
      </c>
      <c r="BS32" s="10">
        <f>SUM(BN7:BN11)</f>
        <v>0.18028939760248711</v>
      </c>
      <c r="BT32"/>
      <c r="BU32"/>
      <c r="BV32"/>
      <c r="BW32"/>
      <c r="BY32"/>
      <c r="BZ32" s="13"/>
      <c r="CA32" s="13"/>
      <c r="CB32" s="13"/>
      <c r="CC32" s="13"/>
      <c r="CD32" s="13"/>
    </row>
    <row r="33" spans="1:137" x14ac:dyDescent="0.2">
      <c r="A33" t="s">
        <v>110</v>
      </c>
      <c r="T33" t="s">
        <v>128</v>
      </c>
      <c r="U33" s="14">
        <f>U27*$U$31</f>
        <v>6243251.4255181486</v>
      </c>
      <c r="V33" s="14">
        <f>V27*$U$31</f>
        <v>5883663.9413697077</v>
      </c>
      <c r="W33" s="14">
        <f>W27*$U$31</f>
        <v>6620805.5886094784</v>
      </c>
      <c r="AC33" s="10">
        <f>Y12+Y13</f>
        <v>0.13643788426632358</v>
      </c>
      <c r="AD33" s="10">
        <f>Z12+Z13</f>
        <v>21.262557299999997</v>
      </c>
      <c r="AF33" s="10">
        <f>AB12+AB13</f>
        <v>3970.1202531016097</v>
      </c>
      <c r="AG33" s="10">
        <f>AC12+AC13</f>
        <v>23359</v>
      </c>
      <c r="AH33" s="10">
        <f>AD12+AD13</f>
        <v>127167</v>
      </c>
      <c r="AI33" s="10">
        <f>AE12+AE13</f>
        <v>3.2176052236405002</v>
      </c>
      <c r="AJ33" s="10">
        <f>AF12+AF13</f>
        <v>74</v>
      </c>
      <c r="AK33" s="10">
        <f>AG12+AG13</f>
        <v>58.742999999999995</v>
      </c>
      <c r="AL33" s="10"/>
      <c r="AR33" s="10">
        <f>AM12+AM13</f>
        <v>36.968504715451004</v>
      </c>
      <c r="AS33">
        <f t="shared" si="12"/>
        <v>1816.9090573420347</v>
      </c>
      <c r="BS33" s="10">
        <f>BN12+BN13</f>
        <v>2.0346920813710079E-2</v>
      </c>
      <c r="BT33"/>
      <c r="BU33"/>
      <c r="BV33"/>
      <c r="BW33"/>
      <c r="BY33"/>
      <c r="BZ33" s="13"/>
      <c r="CA33" s="13"/>
      <c r="CB33" s="13"/>
      <c r="CC33" s="13"/>
      <c r="CD33" s="13"/>
    </row>
    <row r="34" spans="1:137" x14ac:dyDescent="0.2">
      <c r="A34" t="s">
        <v>117</v>
      </c>
      <c r="T34" t="s">
        <v>130</v>
      </c>
      <c r="U34" s="14">
        <f>U33*$U$32</f>
        <v>515068242.60524726</v>
      </c>
      <c r="V34" s="14">
        <f>V33*$U$32</f>
        <v>485402275.16300088</v>
      </c>
      <c r="W34" s="14">
        <f>W33*$U$32</f>
        <v>546216461.06028199</v>
      </c>
      <c r="AC34" s="16">
        <f>SUM(AC31:AC33)</f>
        <v>1.0630141994537976</v>
      </c>
      <c r="AD34" s="16">
        <f>SUM(AD31:AD33)</f>
        <v>166.87909837111283</v>
      </c>
      <c r="AR34" s="10">
        <f>SUM(AR31:AR33)</f>
        <v>324.62968621163708</v>
      </c>
      <c r="AS34">
        <f t="shared" si="12"/>
        <v>796.24719803959567</v>
      </c>
      <c r="BS34" s="10">
        <f>SUM(BS31:BS33)</f>
        <v>0.40769962771723806</v>
      </c>
      <c r="BT34"/>
      <c r="BU34"/>
      <c r="BV34"/>
      <c r="BW34"/>
      <c r="BY34"/>
      <c r="BZ34" s="13"/>
      <c r="CA34" s="13"/>
      <c r="CB34" s="13"/>
      <c r="CC34" s="13"/>
      <c r="CD34" s="13"/>
    </row>
    <row r="35" spans="1:137" x14ac:dyDescent="0.2">
      <c r="T35" t="s">
        <v>126</v>
      </c>
      <c r="U35" s="10">
        <f>U33*$U$30</f>
        <v>9364877138.2772236</v>
      </c>
      <c r="V35" s="10">
        <f>V33*$U$30</f>
        <v>8825495912.0545616</v>
      </c>
      <c r="W35" s="10">
        <f>W33*$U$30</f>
        <v>9931208382.914217</v>
      </c>
      <c r="BS35"/>
      <c r="BT35"/>
      <c r="BU35"/>
      <c r="BV35"/>
      <c r="BW35"/>
      <c r="BY35"/>
      <c r="BZ35" s="13"/>
      <c r="CA35" s="13"/>
      <c r="CB35" s="13"/>
      <c r="CC35" s="13"/>
      <c r="CD35" s="13"/>
    </row>
    <row r="36" spans="1:137" x14ac:dyDescent="0.2">
      <c r="T36" t="s">
        <v>123</v>
      </c>
      <c r="U36">
        <v>3</v>
      </c>
      <c r="AA36" s="14">
        <f>AB27*$U31/$U37</f>
        <v>12128733620.368668</v>
      </c>
      <c r="BS36"/>
      <c r="BT36"/>
      <c r="BU36"/>
      <c r="BV36"/>
      <c r="BW36"/>
      <c r="BY36"/>
      <c r="BZ36" s="13"/>
      <c r="CA36" s="13"/>
      <c r="CB36" s="13"/>
      <c r="CC36" s="13"/>
      <c r="CD36" s="13"/>
    </row>
    <row r="37" spans="1:137" x14ac:dyDescent="0.2">
      <c r="T37" t="s">
        <v>124</v>
      </c>
      <c r="U37">
        <v>1.7330000000000002E-2</v>
      </c>
      <c r="AA37" s="14">
        <f>AB30*$U31/$U37</f>
        <v>43105773684.131577</v>
      </c>
      <c r="BS37"/>
      <c r="BT37"/>
      <c r="BU37"/>
      <c r="BV37"/>
      <c r="BW37"/>
      <c r="BY37"/>
      <c r="BZ37" s="13"/>
      <c r="CA37" s="13"/>
      <c r="CB37" s="13"/>
      <c r="CC37" s="13"/>
      <c r="CD37" s="13"/>
    </row>
    <row r="38" spans="1:137" x14ac:dyDescent="0.2">
      <c r="T38" t="s">
        <v>127</v>
      </c>
      <c r="U38" s="14">
        <f>U33/$U$37</f>
        <v>360256862.40727919</v>
      </c>
      <c r="V38" s="14">
        <f>V33/$U$37</f>
        <v>339507440.35601312</v>
      </c>
      <c r="W38" s="14">
        <f>W33/$U$37</f>
        <v>382043023.00112396</v>
      </c>
      <c r="BS38"/>
      <c r="BT38"/>
      <c r="BU38"/>
      <c r="BV38"/>
      <c r="BW38"/>
      <c r="BY38"/>
      <c r="BZ38" s="13"/>
      <c r="CA38" s="13"/>
      <c r="CB38" s="13"/>
      <c r="CC38" s="13"/>
      <c r="CD38" s="13"/>
    </row>
    <row r="39" spans="1:137" x14ac:dyDescent="0.2">
      <c r="T39" t="s">
        <v>125</v>
      </c>
      <c r="U39" s="14">
        <f>U38*$U$36</f>
        <v>1080770587.2218375</v>
      </c>
      <c r="V39" s="14">
        <f>V38*$U$36</f>
        <v>1018522321.0680394</v>
      </c>
      <c r="W39" s="14">
        <f>W38*$U$36</f>
        <v>1146129069.003372</v>
      </c>
      <c r="BS39"/>
      <c r="BT39"/>
      <c r="BU39"/>
      <c r="BV39"/>
      <c r="BW39"/>
      <c r="BY39"/>
      <c r="BZ39" s="13"/>
      <c r="CA39" s="13"/>
      <c r="CB39" s="13"/>
      <c r="CC39" s="13"/>
      <c r="CD39" s="13"/>
    </row>
    <row r="40" spans="1:137" x14ac:dyDescent="0.2">
      <c r="T40" t="s">
        <v>129</v>
      </c>
      <c r="U40">
        <f>U36/U37</f>
        <v>173.11021350259665</v>
      </c>
      <c r="BS40"/>
      <c r="BT40"/>
      <c r="BU40"/>
      <c r="BV40"/>
      <c r="BW40"/>
      <c r="BY40"/>
      <c r="BZ40" s="13"/>
      <c r="CA40" s="13"/>
      <c r="CB40" s="13"/>
      <c r="CC40" s="13"/>
      <c r="CD40" s="13"/>
    </row>
    <row r="41" spans="1:137" x14ac:dyDescent="0.2">
      <c r="BT41"/>
    </row>
    <row r="42" spans="1:137" x14ac:dyDescent="0.2">
      <c r="A42" t="s">
        <v>257</v>
      </c>
      <c r="B42">
        <v>10.289158617291699</v>
      </c>
      <c r="C42">
        <v>10.2636173448115</v>
      </c>
      <c r="D42">
        <v>10.3146998897718</v>
      </c>
      <c r="E42">
        <v>5.4673490087645096</v>
      </c>
      <c r="F42">
        <v>5.44921442752237</v>
      </c>
      <c r="G42">
        <v>5.4854835900066501</v>
      </c>
      <c r="H42">
        <v>0</v>
      </c>
      <c r="I42">
        <v>0</v>
      </c>
      <c r="J42">
        <v>0</v>
      </c>
      <c r="K42">
        <v>15.7565076260562</v>
      </c>
      <c r="L42">
        <v>15.712831772333899</v>
      </c>
      <c r="M42">
        <v>15.8001834797785</v>
      </c>
      <c r="N42">
        <v>5.44921442752237</v>
      </c>
      <c r="O42">
        <v>5.4854835900066501</v>
      </c>
      <c r="P42">
        <v>2.2918497445521702</v>
      </c>
      <c r="Q42">
        <v>2.1182160699604702</v>
      </c>
      <c r="R42">
        <v>2.4654834191438701</v>
      </c>
      <c r="S42">
        <v>0</v>
      </c>
      <c r="T42">
        <v>1.3191311322984201</v>
      </c>
      <c r="U42">
        <v>19.367488502906799</v>
      </c>
      <c r="V42">
        <v>19.000087078223601</v>
      </c>
      <c r="W42">
        <v>19.734889927589901</v>
      </c>
      <c r="X42">
        <v>2</v>
      </c>
      <c r="Y42">
        <v>1.87439734149271E-2</v>
      </c>
      <c r="Z42">
        <v>8.3545392399999994</v>
      </c>
      <c r="AA42">
        <v>49</v>
      </c>
      <c r="AB42">
        <v>350.73926764171102</v>
      </c>
      <c r="AC42">
        <v>9185</v>
      </c>
      <c r="AD42">
        <v>32340</v>
      </c>
      <c r="AE42">
        <v>1.70994738414317</v>
      </c>
      <c r="AF42">
        <v>56</v>
      </c>
      <c r="AG42">
        <v>43.5</v>
      </c>
      <c r="AH42">
        <v>42</v>
      </c>
      <c r="AI42">
        <v>24</v>
      </c>
      <c r="AJ42">
        <v>52</v>
      </c>
      <c r="AK42">
        <v>25</v>
      </c>
      <c r="AL42">
        <v>41</v>
      </c>
      <c r="AM42">
        <v>11.608289749590099</v>
      </c>
      <c r="AN42" t="s">
        <v>37</v>
      </c>
      <c r="AO42" t="s">
        <v>36</v>
      </c>
      <c r="AP42">
        <v>20230330</v>
      </c>
      <c r="AQ42">
        <v>18912</v>
      </c>
      <c r="AR42">
        <v>3.5211320052131798</v>
      </c>
      <c r="AS42">
        <v>0.53291610689503099</v>
      </c>
      <c r="AT42">
        <v>9.9889653400268997E-3</v>
      </c>
      <c r="AU42">
        <v>4.1912798724225804E-3</v>
      </c>
      <c r="AV42">
        <v>0.70605741998106797</v>
      </c>
      <c r="AW42">
        <v>0.29394258001893198</v>
      </c>
      <c r="AX42">
        <v>0</v>
      </c>
      <c r="AY42">
        <v>2.9335633521942302E-2</v>
      </c>
      <c r="AZ42">
        <v>2.91989867763668E-2</v>
      </c>
      <c r="BA42">
        <v>2.9472280267517699E-2</v>
      </c>
      <c r="BB42">
        <v>1.55880721469418E-2</v>
      </c>
      <c r="BC42">
        <v>1.5491051471443499E-2</v>
      </c>
      <c r="BD42">
        <v>1.5685092822439999E-2</v>
      </c>
      <c r="BE42">
        <v>0</v>
      </c>
      <c r="BF42">
        <v>0</v>
      </c>
      <c r="BG42">
        <v>0</v>
      </c>
      <c r="BH42">
        <v>4.4923705668883998E-2</v>
      </c>
      <c r="BI42">
        <v>4.4799180536537198E-2</v>
      </c>
      <c r="BJ42">
        <v>4.5048230801230799E-2</v>
      </c>
      <c r="BK42">
        <v>5.52190481354689E-2</v>
      </c>
      <c r="BL42">
        <v>-1.0475058214993701E-3</v>
      </c>
      <c r="BM42">
        <v>1.0475058214993701E-3</v>
      </c>
      <c r="BN42">
        <v>5.4171542313969499E-2</v>
      </c>
      <c r="BO42">
        <v>5.62665539569683E-2</v>
      </c>
      <c r="BP42">
        <v>6.5343403376588796E-3</v>
      </c>
      <c r="BQ42">
        <v>6.0392897670194E-3</v>
      </c>
      <c r="BR42">
        <v>7.0293909082983696E-3</v>
      </c>
      <c r="BS42" s="13">
        <v>0</v>
      </c>
      <c r="BT42">
        <v>0</v>
      </c>
      <c r="BU42" s="13">
        <v>0</v>
      </c>
      <c r="BV42" s="13">
        <v>3.7610021289259899E-3</v>
      </c>
      <c r="BW42" s="13">
        <v>3.0840217457193098E-3</v>
      </c>
      <c r="BX42" s="13">
        <v>4.4379825121326696E-3</v>
      </c>
      <c r="BY42" s="13">
        <v>1.02953424665849E-2</v>
      </c>
      <c r="BZ42">
        <v>9.1233115127387198E-3</v>
      </c>
      <c r="CA42">
        <v>1.1467373420431E-2</v>
      </c>
      <c r="CB42">
        <v>2.9610829103214899E-3</v>
      </c>
      <c r="CC42">
        <v>2.3001269035532999E-3</v>
      </c>
      <c r="CD42">
        <v>0.97355733573013004</v>
      </c>
      <c r="CE42">
        <v>5371</v>
      </c>
      <c r="CF42">
        <v>7.8197728542170903E-3</v>
      </c>
      <c r="CG42">
        <v>2.6129559063690802E-3</v>
      </c>
      <c r="CH42">
        <v>4.4684416309811997E-3</v>
      </c>
      <c r="CI42">
        <v>7.7591987533166797</v>
      </c>
      <c r="CJ42">
        <v>7.5855650787249802</v>
      </c>
      <c r="CK42">
        <v>7.9328324279083802</v>
      </c>
      <c r="CL42">
        <v>7.7591987533166797</v>
      </c>
      <c r="CM42">
        <v>7.5855650787249802</v>
      </c>
      <c r="CN42">
        <v>7.9328324279083802</v>
      </c>
      <c r="CO42">
        <v>11.608289749590099</v>
      </c>
      <c r="CP42">
        <v>11.3453048732962</v>
      </c>
      <c r="CQ42">
        <v>11.871274625884</v>
      </c>
      <c r="CR42" t="s">
        <v>66</v>
      </c>
      <c r="CS42" t="s">
        <v>66</v>
      </c>
      <c r="CT42" t="s">
        <v>66</v>
      </c>
      <c r="CU42">
        <v>1.7244083125124701</v>
      </c>
      <c r="CV42">
        <v>1.6364408273229401</v>
      </c>
      <c r="CW42">
        <v>1.8123757977020001</v>
      </c>
      <c r="CX42">
        <v>0.215368338404264</v>
      </c>
      <c r="CY42">
        <v>0.122790376523885</v>
      </c>
      <c r="CZ42">
        <v>0.30794630028464398</v>
      </c>
      <c r="DA42">
        <v>0.35207309363543599</v>
      </c>
      <c r="DB42">
        <v>0.17382894235288401</v>
      </c>
      <c r="DC42">
        <v>0.53031724491798804</v>
      </c>
      <c r="DD42">
        <v>0</v>
      </c>
      <c r="DE42">
        <v>0</v>
      </c>
      <c r="DF42">
        <v>0</v>
      </c>
      <c r="DG42">
        <v>0.40063009471528199</v>
      </c>
      <c r="DH42">
        <v>0.40063009471528199</v>
      </c>
      <c r="DI42">
        <v>0.59936990528471801</v>
      </c>
      <c r="DJ42">
        <v>0.18644548963117399</v>
      </c>
      <c r="DK42">
        <v>0.118334896350045</v>
      </c>
      <c r="DL42">
        <v>15.7565076260562</v>
      </c>
      <c r="DM42">
        <v>1.4908763831334999</v>
      </c>
      <c r="DN42">
        <v>6.5302414381253296E-2</v>
      </c>
      <c r="DO42">
        <v>2.4005541504687099E-2</v>
      </c>
      <c r="DP42">
        <v>0.9</v>
      </c>
      <c r="DQ42">
        <v>17.326203208556102</v>
      </c>
      <c r="DR42">
        <v>1.8970008663125301E-2</v>
      </c>
      <c r="DS42">
        <v>-1.8970008663124999E-2</v>
      </c>
      <c r="DT42">
        <v>0</v>
      </c>
      <c r="DU42">
        <v>0</v>
      </c>
      <c r="DV42">
        <v>3.0132414851500901E-2</v>
      </c>
      <c r="DW42">
        <v>2.9979849678114401E-2</v>
      </c>
      <c r="DX42">
        <v>3.0284980024887501E-2</v>
      </c>
      <c r="DY42">
        <v>1.8855842445038701E-2</v>
      </c>
      <c r="DZ42">
        <v>1.9782788275775402E-2</v>
      </c>
      <c r="EA42">
        <v>1.7928896614302001E-2</v>
      </c>
      <c r="EB42">
        <v>5.5767530826274703</v>
      </c>
      <c r="EC42">
        <v>5.52858225796294</v>
      </c>
      <c r="ED42">
        <v>5.6249239072919899</v>
      </c>
      <c r="EE42">
        <v>2.2918497445521702</v>
      </c>
      <c r="EF42">
        <v>2.2918497445521702</v>
      </c>
      <c r="EG42">
        <v>2.2918497445521702</v>
      </c>
    </row>
    <row r="43" spans="1:137" x14ac:dyDescent="0.2">
      <c r="B43" s="9">
        <f>(B42-B15)/B15</f>
        <v>-2.4364300659570251E-2</v>
      </c>
      <c r="C43" s="9">
        <f t="shared" ref="C43:BN43" si="13">(C42-C15)/C15</f>
        <v>-2.1378766338389049E-3</v>
      </c>
      <c r="D43" s="9">
        <f t="shared" si="13"/>
        <v>-4.6318759176282663E-2</v>
      </c>
      <c r="E43" s="9">
        <f t="shared" si="13"/>
        <v>-6.9012210493857501E-2</v>
      </c>
      <c r="F43" s="9">
        <f t="shared" si="13"/>
        <v>0.15022323558235429</v>
      </c>
      <c r="G43" s="9">
        <f t="shared" si="13"/>
        <v>-0.22020308272755121</v>
      </c>
      <c r="H43" s="9" t="e">
        <f t="shared" si="13"/>
        <v>#DIV/0!</v>
      </c>
      <c r="I43" s="9" t="e">
        <f t="shared" si="13"/>
        <v>#DIV/0!</v>
      </c>
      <c r="J43" s="9" t="e">
        <f t="shared" si="13"/>
        <v>#DIV/0!</v>
      </c>
      <c r="K43" s="9">
        <f t="shared" si="13"/>
        <v>-4.0333904156300088E-2</v>
      </c>
      <c r="L43" s="9">
        <f t="shared" si="13"/>
        <v>2.8689335172292944E-2</v>
      </c>
      <c r="M43" s="9">
        <f t="shared" si="13"/>
        <v>-0.1014611997570052</v>
      </c>
      <c r="N43" s="9">
        <f t="shared" si="13"/>
        <v>0.15022323558235429</v>
      </c>
      <c r="O43" s="9">
        <f t="shared" si="13"/>
        <v>-0.22020308272755121</v>
      </c>
      <c r="P43" s="9">
        <f t="shared" si="13"/>
        <v>-3.2075506887924606E-2</v>
      </c>
      <c r="Q43" s="9">
        <f t="shared" si="13"/>
        <v>0.20830204003307318</v>
      </c>
      <c r="R43" s="9">
        <f t="shared" si="13"/>
        <v>-0.23510065199434579</v>
      </c>
      <c r="S43" s="9" t="e">
        <f t="shared" si="13"/>
        <v>#DIV/0!</v>
      </c>
      <c r="T43" s="9">
        <f t="shared" si="13"/>
        <v>0</v>
      </c>
      <c r="U43" s="9">
        <f t="shared" si="13"/>
        <v>-3.6715027964090742E-2</v>
      </c>
      <c r="V43" s="9">
        <f t="shared" si="13"/>
        <v>2.9824868749061501E-2</v>
      </c>
      <c r="W43" s="9">
        <f t="shared" si="13"/>
        <v>-9.1566824319052706E-2</v>
      </c>
      <c r="X43" s="9">
        <f t="shared" si="13"/>
        <v>-0.998</v>
      </c>
      <c r="Y43" s="9">
        <f t="shared" si="13"/>
        <v>-0.73596887868163896</v>
      </c>
      <c r="Z43" s="9">
        <f t="shared" si="13"/>
        <v>0</v>
      </c>
      <c r="AA43" s="9">
        <f t="shared" si="13"/>
        <v>-7.5122687806719463E-2</v>
      </c>
      <c r="AB43" s="9">
        <f t="shared" si="13"/>
        <v>0</v>
      </c>
      <c r="AC43" s="9">
        <f t="shared" si="13"/>
        <v>0</v>
      </c>
      <c r="AD43" s="9">
        <f t="shared" si="13"/>
        <v>0</v>
      </c>
      <c r="AE43" s="9">
        <f t="shared" si="13"/>
        <v>0</v>
      </c>
      <c r="AF43" s="9">
        <f t="shared" si="13"/>
        <v>0</v>
      </c>
      <c r="AG43" s="9">
        <f t="shared" si="13"/>
        <v>5.7622173595915323E-2</v>
      </c>
      <c r="AH43" s="9">
        <f t="shared" si="13"/>
        <v>0</v>
      </c>
      <c r="AI43" s="9">
        <f t="shared" si="13"/>
        <v>-3.6338084721943428E-2</v>
      </c>
      <c r="AJ43" s="9">
        <f t="shared" si="13"/>
        <v>0</v>
      </c>
      <c r="AK43" s="9">
        <f t="shared" si="13"/>
        <v>0</v>
      </c>
      <c r="AL43" s="9" t="e">
        <f t="shared" si="13"/>
        <v>#DIV/0!</v>
      </c>
      <c r="AM43" s="9">
        <f t="shared" si="13"/>
        <v>-2.1655572290837474E-2</v>
      </c>
      <c r="AN43" s="9" t="e">
        <f t="shared" si="13"/>
        <v>#VALUE!</v>
      </c>
      <c r="AO43" s="9" t="e">
        <f t="shared" si="13"/>
        <v>#VALUE!</v>
      </c>
      <c r="AP43" s="9">
        <f t="shared" si="13"/>
        <v>9.886147174677543E-8</v>
      </c>
      <c r="AQ43" s="9">
        <f t="shared" si="13"/>
        <v>0</v>
      </c>
      <c r="AR43" s="9">
        <f t="shared" si="13"/>
        <v>0</v>
      </c>
      <c r="AS43" s="9">
        <f t="shared" si="13"/>
        <v>0</v>
      </c>
      <c r="AT43" s="9">
        <f t="shared" si="13"/>
        <v>-0.73596887868163896</v>
      </c>
      <c r="AU43" s="9">
        <f t="shared" si="13"/>
        <v>0.86698196328500687</v>
      </c>
      <c r="AV43" s="9">
        <f t="shared" si="13"/>
        <v>-1.3758045838468595E-3</v>
      </c>
      <c r="AW43" s="9">
        <f t="shared" si="13"/>
        <v>3.3202575153123449E-3</v>
      </c>
      <c r="AX43" s="9" t="e">
        <f t="shared" si="13"/>
        <v>#DIV/0!</v>
      </c>
      <c r="AY43" s="9">
        <f t="shared" si="13"/>
        <v>-2.4364300659569849E-2</v>
      </c>
      <c r="AZ43" s="9">
        <f t="shared" si="13"/>
        <v>1.8289707180118336E-2</v>
      </c>
      <c r="BA43" s="9">
        <f t="shared" si="13"/>
        <v>-6.4680456902841257E-2</v>
      </c>
      <c r="BB43" s="9">
        <f t="shared" si="13"/>
        <v>-6.9012210493855267E-2</v>
      </c>
      <c r="BC43" s="9">
        <f t="shared" si="13"/>
        <v>0.45173274602430802</v>
      </c>
      <c r="BD43" s="9">
        <f t="shared" si="13"/>
        <v>-0.31684045007172185</v>
      </c>
      <c r="BE43" s="9" t="e">
        <f t="shared" si="13"/>
        <v>#DIV/0!</v>
      </c>
      <c r="BF43" s="9" t="e">
        <f t="shared" si="13"/>
        <v>#DIV/0!</v>
      </c>
      <c r="BG43" s="9" t="e">
        <f t="shared" si="13"/>
        <v>#DIV/0!</v>
      </c>
      <c r="BH43" s="9">
        <f t="shared" si="13"/>
        <v>-4.0333904156300719E-2</v>
      </c>
      <c r="BI43" s="9">
        <f t="shared" si="13"/>
        <v>2.8689335172292756E-2</v>
      </c>
      <c r="BJ43" s="9">
        <f t="shared" si="13"/>
        <v>-0.10146119975700379</v>
      </c>
      <c r="BK43" s="9">
        <f t="shared" si="13"/>
        <v>-3.6715027964092511E-2</v>
      </c>
      <c r="BL43" s="9">
        <f t="shared" si="13"/>
        <v>-0.77811849221017448</v>
      </c>
      <c r="BM43" s="9">
        <f t="shared" si="13"/>
        <v>-0.77298867836870078</v>
      </c>
      <c r="BN43" s="9">
        <f t="shared" si="13"/>
        <v>2.9824868749064034E-2</v>
      </c>
      <c r="BO43" s="9">
        <f t="shared" ref="BO43:DZ43" si="14">(BO42-BO15)/BO15</f>
        <v>-9.1566824319055148E-2</v>
      </c>
      <c r="BP43" s="9">
        <f t="shared" si="14"/>
        <v>-3.2075506887926257E-2</v>
      </c>
      <c r="BQ43" s="9">
        <f t="shared" si="14"/>
        <v>0.20830204003307229</v>
      </c>
      <c r="BR43" s="9">
        <f t="shared" si="14"/>
        <v>-0.2351006519943441</v>
      </c>
      <c r="BS43" s="9" t="e">
        <f t="shared" si="14"/>
        <v>#DIV/0!</v>
      </c>
      <c r="BT43" s="9" t="e">
        <f t="shared" si="14"/>
        <v>#DIV/0!</v>
      </c>
      <c r="BU43" s="9" t="e">
        <f t="shared" si="14"/>
        <v>#DIV/0!</v>
      </c>
      <c r="BV43" s="9">
        <f t="shared" si="14"/>
        <v>0</v>
      </c>
      <c r="BW43" s="9">
        <f t="shared" si="14"/>
        <v>0</v>
      </c>
      <c r="BX43" s="9">
        <f t="shared" si="14"/>
        <v>0</v>
      </c>
      <c r="BY43" s="9">
        <f t="shared" si="14"/>
        <v>-2.0599344091206288E-2</v>
      </c>
      <c r="BZ43" s="9">
        <f t="shared" si="14"/>
        <v>0.1288175822024033</v>
      </c>
      <c r="CA43" s="9">
        <f t="shared" si="14"/>
        <v>-0.15853935655815901</v>
      </c>
      <c r="CB43" s="9">
        <f t="shared" si="14"/>
        <v>0</v>
      </c>
      <c r="CC43" s="9">
        <f t="shared" si="14"/>
        <v>5.762217359591585E-2</v>
      </c>
      <c r="CD43" s="9">
        <f t="shared" si="14"/>
        <v>2.6792844569478766E-2</v>
      </c>
      <c r="CE43" s="9">
        <f t="shared" si="14"/>
        <v>0</v>
      </c>
      <c r="CF43" s="9">
        <f t="shared" si="14"/>
        <v>0</v>
      </c>
      <c r="CG43" s="9">
        <f t="shared" si="14"/>
        <v>-3.6338084721944199E-2</v>
      </c>
      <c r="CH43" s="9">
        <f t="shared" si="14"/>
        <v>-3.6338084721942908E-2</v>
      </c>
      <c r="CI43" s="9">
        <f t="shared" si="14"/>
        <v>-5.8398850388900927E-2</v>
      </c>
      <c r="CJ43" s="9">
        <f t="shared" si="14"/>
        <v>-5.2610457141810708E-3</v>
      </c>
      <c r="CK43" s="9">
        <f t="shared" si="14"/>
        <v>-0.12786824843319117</v>
      </c>
      <c r="CL43" s="9">
        <f t="shared" si="14"/>
        <v>-5.8398850388900927E-2</v>
      </c>
      <c r="CM43" s="9">
        <f t="shared" si="14"/>
        <v>-5.2610457141810708E-3</v>
      </c>
      <c r="CN43" s="9">
        <f t="shared" si="14"/>
        <v>-0.12786824843319117</v>
      </c>
      <c r="CO43" s="9">
        <f t="shared" si="14"/>
        <v>-2.1655572290837474E-2</v>
      </c>
      <c r="CP43" s="9">
        <f t="shared" si="14"/>
        <v>-1.9344408429496571E-3</v>
      </c>
      <c r="CQ43" s="9">
        <f t="shared" si="14"/>
        <v>-4.0491310540723184E-2</v>
      </c>
      <c r="CR43" s="9" t="e">
        <f t="shared" si="14"/>
        <v>#VALUE!</v>
      </c>
      <c r="CS43" s="9" t="e">
        <f t="shared" si="14"/>
        <v>#VALUE!</v>
      </c>
      <c r="CT43" s="9" t="e">
        <f t="shared" si="14"/>
        <v>#VALUE!</v>
      </c>
      <c r="CU43" s="9">
        <f t="shared" si="14"/>
        <v>-4.6824268253540795E-2</v>
      </c>
      <c r="CV43" s="9">
        <f t="shared" si="14"/>
        <v>0.23124225297091061</v>
      </c>
      <c r="CW43" s="9">
        <f t="shared" si="14"/>
        <v>-0.25569953932830025</v>
      </c>
      <c r="CX43" s="9">
        <f t="shared" si="14"/>
        <v>-0.18842334407709874</v>
      </c>
      <c r="CY43" s="9">
        <f t="shared" si="14"/>
        <v>-0.28226401445343435</v>
      </c>
      <c r="CZ43" s="9">
        <f t="shared" si="14"/>
        <v>-0.25528857245187875</v>
      </c>
      <c r="DA43" s="9">
        <f t="shared" si="14"/>
        <v>0.20034963554808866</v>
      </c>
      <c r="DB43" s="9">
        <f t="shared" si="14"/>
        <v>0.26882616237036999</v>
      </c>
      <c r="DC43" s="9">
        <f t="shared" si="14"/>
        <v>-0.39269798609040013</v>
      </c>
      <c r="DD43" s="9" t="e">
        <f t="shared" si="14"/>
        <v>#DIV/0!</v>
      </c>
      <c r="DE43" s="9" t="e">
        <f t="shared" si="14"/>
        <v>#DIV/0!</v>
      </c>
      <c r="DF43" s="9" t="e">
        <f t="shared" si="14"/>
        <v>#DIV/0!</v>
      </c>
      <c r="DG43" s="9">
        <f t="shared" si="14"/>
        <v>-2.2502966031548575E-2</v>
      </c>
      <c r="DH43" s="9">
        <f t="shared" si="14"/>
        <v>-2.2502966031548575E-2</v>
      </c>
      <c r="DI43" s="9">
        <f t="shared" si="14"/>
        <v>1.5628154083965371E-2</v>
      </c>
      <c r="DJ43" s="9">
        <f t="shared" si="14"/>
        <v>1.6736082553877801E-2</v>
      </c>
      <c r="DK43" s="9">
        <f t="shared" si="14"/>
        <v>4.83051335989001E-3</v>
      </c>
      <c r="DL43" s="9">
        <f t="shared" si="14"/>
        <v>-4.0333904156300088E-2</v>
      </c>
      <c r="DM43" s="9">
        <f t="shared" si="14"/>
        <v>9.984019559616808E-3</v>
      </c>
      <c r="DN43" s="9">
        <f t="shared" si="14"/>
        <v>0</v>
      </c>
      <c r="DO43" s="9">
        <f t="shared" si="14"/>
        <v>0</v>
      </c>
      <c r="DP43" s="9">
        <f t="shared" si="14"/>
        <v>0</v>
      </c>
      <c r="DQ43" s="9">
        <f t="shared" si="14"/>
        <v>0</v>
      </c>
      <c r="DR43" s="9">
        <f t="shared" si="14"/>
        <v>-0.76436279277156038</v>
      </c>
      <c r="DS43" s="9">
        <f t="shared" si="14"/>
        <v>-0.76969923845275467</v>
      </c>
      <c r="DT43" s="9" t="e">
        <f t="shared" si="14"/>
        <v>#DIV/0!</v>
      </c>
      <c r="DU43" s="9" t="e">
        <f t="shared" si="14"/>
        <v>#DIV/0!</v>
      </c>
      <c r="DV43" s="9" t="e">
        <f t="shared" si="14"/>
        <v>#DIV/0!</v>
      </c>
      <c r="DW43" s="9" t="e">
        <f t="shared" si="14"/>
        <v>#DIV/0!</v>
      </c>
      <c r="DX43" s="9" t="e">
        <f t="shared" si="14"/>
        <v>#DIV/0!</v>
      </c>
      <c r="DY43" s="9">
        <f t="shared" si="14"/>
        <v>-2.3363785693808819E-3</v>
      </c>
      <c r="DZ43" s="9">
        <f t="shared" si="14"/>
        <v>-8.6927900124242645E-4</v>
      </c>
      <c r="EA43" s="9">
        <f t="shared" ref="EA43:EG43" si="15">(EA42-EA15)/EA15</f>
        <v>1.6143359945252572E-3</v>
      </c>
      <c r="EB43" s="9">
        <f t="shared" si="15"/>
        <v>-7.6835901164017853E-2</v>
      </c>
      <c r="EC43" s="9" t="e">
        <f t="shared" si="15"/>
        <v>#DIV/0!</v>
      </c>
      <c r="ED43" s="9" t="e">
        <f t="shared" si="15"/>
        <v>#DIV/0!</v>
      </c>
      <c r="EE43" s="9">
        <f t="shared" si="15"/>
        <v>-3.2075479178472956E-2</v>
      </c>
      <c r="EF43" s="9" t="e">
        <f t="shared" si="15"/>
        <v>#DIV/0!</v>
      </c>
      <c r="EG43" s="9" t="e">
        <f t="shared" si="15"/>
        <v>#DIV/0!</v>
      </c>
    </row>
    <row r="44" spans="1:137" x14ac:dyDescent="0.2">
      <c r="BT44"/>
    </row>
    <row r="45" spans="1:137" x14ac:dyDescent="0.2">
      <c r="BT45"/>
    </row>
    <row r="46" spans="1:137" x14ac:dyDescent="0.2">
      <c r="BT46"/>
    </row>
    <row r="47" spans="1:137" x14ac:dyDescent="0.2">
      <c r="BT47"/>
    </row>
    <row r="48" spans="1:137" x14ac:dyDescent="0.2">
      <c r="BT48"/>
    </row>
    <row r="49" spans="72:72" x14ac:dyDescent="0.2">
      <c r="BT49"/>
    </row>
    <row r="50" spans="72:72" x14ac:dyDescent="0.2">
      <c r="BT50"/>
    </row>
    <row r="51" spans="72:72" x14ac:dyDescent="0.2">
      <c r="BT51"/>
    </row>
    <row r="52" spans="72:72" x14ac:dyDescent="0.2">
      <c r="BT52"/>
    </row>
    <row r="53" spans="72:72" x14ac:dyDescent="0.2">
      <c r="BT53"/>
    </row>
    <row r="54" spans="72:72" x14ac:dyDescent="0.2">
      <c r="BT54"/>
    </row>
    <row r="55" spans="72:72" x14ac:dyDescent="0.2">
      <c r="BT55"/>
    </row>
    <row r="56" spans="72:72" x14ac:dyDescent="0.2">
      <c r="BT56"/>
    </row>
    <row r="57" spans="72:72" x14ac:dyDescent="0.2">
      <c r="BT57"/>
    </row>
    <row r="58" spans="72:72" x14ac:dyDescent="0.2">
      <c r="BT58"/>
    </row>
    <row r="59" spans="72:72" x14ac:dyDescent="0.2">
      <c r="BT59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3D499-41D5-F240-94D0-4952F45BD787}">
  <dimension ref="A1:W66"/>
  <sheetViews>
    <sheetView topLeftCell="L40" workbookViewId="0">
      <selection activeCell="T43" sqref="T43"/>
    </sheetView>
  </sheetViews>
  <sheetFormatPr baseColWidth="10" defaultRowHeight="16" x14ac:dyDescent="0.2"/>
  <cols>
    <col min="2" max="2" width="14.1640625" customWidth="1"/>
    <col min="8" max="8" width="16.33203125" customWidth="1"/>
    <col min="23" max="23" width="13.1640625" customWidth="1"/>
  </cols>
  <sheetData>
    <row r="1" spans="1:19" x14ac:dyDescent="0.2">
      <c r="I1" t="s">
        <v>202</v>
      </c>
      <c r="J1" t="s">
        <v>231</v>
      </c>
    </row>
    <row r="2" spans="1:19" x14ac:dyDescent="0.2">
      <c r="A2" s="22" t="s">
        <v>199</v>
      </c>
      <c r="B2" t="str" cm="1">
        <f t="array" ref="B2:B21">'By site'!AA1:AA20</f>
        <v>Transition point</v>
      </c>
      <c r="C2" t="str" cm="1">
        <f t="array" ref="C2:C21">'By site'!Z1:Z20</f>
        <v>Min detected emission</v>
      </c>
      <c r="D2" t="str" cm="1">
        <f t="array" ref="D2:D21">'By site'!AF1:AF20</f>
        <v># production plumes</v>
      </c>
      <c r="E2" t="str" cm="1">
        <f t="array" ref="E2:E21">'By site'!AG1:AG20</f>
        <v># production plumes sel</v>
      </c>
      <c r="H2" s="22" t="s">
        <v>200</v>
      </c>
      <c r="I2" t="s">
        <v>201</v>
      </c>
      <c r="J2" t="s">
        <v>230</v>
      </c>
      <c r="K2" t="s">
        <v>232</v>
      </c>
      <c r="M2" s="22" t="s">
        <v>203</v>
      </c>
      <c r="N2" t="str" cm="1">
        <f t="array" ref="N2:N21">'By site'!CE1:CE20</f>
        <v>Well sites covered</v>
      </c>
      <c r="O2" t="str" cm="1">
        <f t="array" ref="O2:O21">'By site'!AF1:AF20</f>
        <v># production plumes</v>
      </c>
      <c r="P2" t="str" cm="1">
        <f t="array" ref="P2:P21">'By site'!AH1:AH20</f>
        <v># prod sources overall</v>
      </c>
      <c r="Q2" t="str" cm="1">
        <f t="array" ref="Q2:Q21">'By site'!AR1:AR20</f>
        <v>Avg visits/well site</v>
      </c>
      <c r="R2" t="str" cm="1">
        <f t="array" ref="R2:R21">'By site'!AI1:AI20</f>
        <v># avg prod sources sim</v>
      </c>
      <c r="S2" t="str" cm="1">
        <f t="array" ref="S2:S21">'By site'!CH1:CH20</f>
        <v>Avg % sites emitting</v>
      </c>
    </row>
    <row r="3" spans="1:19" x14ac:dyDescent="0.2">
      <c r="A3" t="s">
        <v>107</v>
      </c>
      <c r="B3" s="6">
        <v>24.324000000000002</v>
      </c>
      <c r="C3" s="6">
        <v>7.0962342611128504</v>
      </c>
      <c r="D3">
        <v>1279</v>
      </c>
      <c r="E3" s="4">
        <v>1276.97</v>
      </c>
      <c r="H3" t="s">
        <v>107</v>
      </c>
      <c r="I3" s="11">
        <f>1000*'By site'!K2/'By site'!CE2</f>
        <v>6.1329723641031055</v>
      </c>
      <c r="J3" s="11">
        <v>3.1883750000000002</v>
      </c>
      <c r="K3" s="9">
        <f>J3/I3</f>
        <v>0.51987434651782793</v>
      </c>
      <c r="M3" t="s">
        <v>107</v>
      </c>
      <c r="N3">
        <v>18030</v>
      </c>
      <c r="O3">
        <v>1279</v>
      </c>
      <c r="P3">
        <v>625</v>
      </c>
      <c r="Q3" s="6">
        <v>3.76982806433722</v>
      </c>
      <c r="R3" s="6">
        <v>305.15800000000002</v>
      </c>
      <c r="S3" s="3">
        <v>1.6925013865779302E-2</v>
      </c>
    </row>
    <row r="4" spans="1:19" x14ac:dyDescent="0.2">
      <c r="A4" t="s">
        <v>90</v>
      </c>
      <c r="B4" s="6">
        <v>59.283000000000001</v>
      </c>
      <c r="C4" s="6">
        <v>15.0295249</v>
      </c>
      <c r="D4">
        <v>1749</v>
      </c>
      <c r="E4" s="4">
        <v>1645.742</v>
      </c>
      <c r="H4" t="s">
        <v>90</v>
      </c>
      <c r="I4" s="11">
        <f>1000*'By site'!K3/'By site'!CE3</f>
        <v>6.5952485806172616</v>
      </c>
      <c r="J4" s="11">
        <v>3.823909</v>
      </c>
      <c r="K4" s="9">
        <f t="shared" ref="K4:K17" si="0">J4/I4</f>
        <v>0.57979755474843875</v>
      </c>
      <c r="M4" t="s">
        <v>90</v>
      </c>
      <c r="N4">
        <v>46337</v>
      </c>
      <c r="O4">
        <v>1749</v>
      </c>
      <c r="P4">
        <v>1054</v>
      </c>
      <c r="Q4" s="6">
        <v>3.8655933703088201</v>
      </c>
      <c r="R4" s="6">
        <v>483.44900000000001</v>
      </c>
      <c r="S4" s="3">
        <v>1.0433325420290501E-2</v>
      </c>
    </row>
    <row r="5" spans="1:19" x14ac:dyDescent="0.2">
      <c r="A5" t="s">
        <v>91</v>
      </c>
      <c r="B5" s="6">
        <v>83.968000000000004</v>
      </c>
      <c r="C5" s="6">
        <v>8.0919112099999992</v>
      </c>
      <c r="D5">
        <v>284</v>
      </c>
      <c r="E5" s="4">
        <v>246.309</v>
      </c>
      <c r="H5" t="s">
        <v>91</v>
      </c>
      <c r="I5" s="11">
        <f>1000*'By site'!K4/'By site'!CE4</f>
        <v>6.1230245031943387</v>
      </c>
      <c r="J5" s="11">
        <v>5.3150170000000001</v>
      </c>
      <c r="K5" s="9">
        <f t="shared" si="0"/>
        <v>0.86803784587619948</v>
      </c>
      <c r="M5" t="s">
        <v>91</v>
      </c>
      <c r="N5">
        <v>9380</v>
      </c>
      <c r="O5">
        <v>284</v>
      </c>
      <c r="P5">
        <v>239</v>
      </c>
      <c r="Q5" s="6">
        <v>2.85575692963753</v>
      </c>
      <c r="R5" s="6">
        <v>101.24</v>
      </c>
      <c r="S5" s="3">
        <v>1.07931769722815E-2</v>
      </c>
    </row>
    <row r="6" spans="1:19" x14ac:dyDescent="0.2">
      <c r="A6" t="s">
        <v>93</v>
      </c>
      <c r="B6" s="6">
        <v>68.186999999999998</v>
      </c>
      <c r="C6" s="6">
        <v>11.8134085</v>
      </c>
      <c r="D6">
        <v>416</v>
      </c>
      <c r="E6" s="4">
        <v>360.58499999999998</v>
      </c>
      <c r="H6" t="s">
        <v>93</v>
      </c>
      <c r="I6" s="11">
        <f>1000*'By site'!K5/'By site'!CE5</f>
        <v>6.2382058619041594</v>
      </c>
      <c r="J6" s="11">
        <v>7.7005670000000004</v>
      </c>
      <c r="K6" s="9">
        <f t="shared" si="0"/>
        <v>1.2344201474700078</v>
      </c>
      <c r="M6" t="s">
        <v>93</v>
      </c>
      <c r="N6">
        <v>10432</v>
      </c>
      <c r="O6">
        <v>416</v>
      </c>
      <c r="P6">
        <v>296</v>
      </c>
      <c r="Q6" s="6">
        <v>4.82716641104295</v>
      </c>
      <c r="R6" s="6">
        <v>124.71</v>
      </c>
      <c r="S6" s="3">
        <v>1.1954562883435599E-2</v>
      </c>
    </row>
    <row r="7" spans="1:19" x14ac:dyDescent="0.2">
      <c r="A7" t="s">
        <v>92</v>
      </c>
      <c r="B7" s="6">
        <v>77.864999999999995</v>
      </c>
      <c r="C7" s="6">
        <v>23.348039</v>
      </c>
      <c r="D7">
        <v>334</v>
      </c>
      <c r="E7" s="4">
        <v>275.14999999999998</v>
      </c>
      <c r="H7" t="s">
        <v>92</v>
      </c>
      <c r="I7" s="11">
        <f>1000*'By site'!K6/'By site'!CE6</f>
        <v>6.0889629627123965</v>
      </c>
      <c r="J7" s="11">
        <v>7.4984510000000002</v>
      </c>
      <c r="K7" s="9">
        <f t="shared" si="0"/>
        <v>1.23148244551971</v>
      </c>
      <c r="M7" t="s">
        <v>92</v>
      </c>
      <c r="N7">
        <v>10777</v>
      </c>
      <c r="O7">
        <v>334</v>
      </c>
      <c r="P7">
        <v>232</v>
      </c>
      <c r="Q7" s="6">
        <v>4.7946552844019701</v>
      </c>
      <c r="R7" s="6">
        <v>92.784999999999997</v>
      </c>
      <c r="S7" s="3">
        <v>8.6095388326992706E-3</v>
      </c>
    </row>
    <row r="8" spans="1:19" x14ac:dyDescent="0.2">
      <c r="A8" t="s">
        <v>94</v>
      </c>
      <c r="B8" s="6">
        <v>40.414999999999999</v>
      </c>
      <c r="C8" s="6">
        <v>9</v>
      </c>
      <c r="D8">
        <v>77</v>
      </c>
      <c r="E8" s="4">
        <v>69.132000000000005</v>
      </c>
      <c r="H8" t="s">
        <v>94</v>
      </c>
      <c r="I8" s="11">
        <f>1000*'By site'!K7/'By site'!CE7</f>
        <v>0.20819119893327348</v>
      </c>
      <c r="J8" s="11">
        <v>0.52104099999999998</v>
      </c>
      <c r="K8" s="9">
        <f t="shared" si="0"/>
        <v>2.5027042577673839</v>
      </c>
      <c r="M8" t="s">
        <v>94</v>
      </c>
      <c r="N8">
        <v>23779</v>
      </c>
      <c r="O8">
        <v>77</v>
      </c>
      <c r="P8">
        <v>40</v>
      </c>
      <c r="Q8" s="6">
        <v>1.9552546364439201</v>
      </c>
      <c r="R8" s="6">
        <v>15.074</v>
      </c>
      <c r="S8" s="3">
        <v>6.33920686319862E-4</v>
      </c>
    </row>
    <row r="9" spans="1:19" x14ac:dyDescent="0.2">
      <c r="A9" t="s">
        <v>95</v>
      </c>
      <c r="B9" s="6">
        <v>40.99</v>
      </c>
      <c r="C9" s="6">
        <v>11</v>
      </c>
      <c r="D9">
        <v>86</v>
      </c>
      <c r="E9" s="4">
        <v>80.173000000000002</v>
      </c>
      <c r="H9" t="s">
        <v>95</v>
      </c>
      <c r="I9" s="11">
        <f>1000*'By site'!K8/'By site'!CE8</f>
        <v>0.30893290631291048</v>
      </c>
      <c r="J9" s="11">
        <v>0.53992899999999999</v>
      </c>
      <c r="K9" s="9">
        <f t="shared" si="0"/>
        <v>1.7477225279883888</v>
      </c>
      <c r="M9" t="s">
        <v>95</v>
      </c>
      <c r="N9">
        <v>23103</v>
      </c>
      <c r="O9">
        <v>86</v>
      </c>
      <c r="P9">
        <v>54</v>
      </c>
      <c r="Q9" s="6">
        <v>4.7679522139981803</v>
      </c>
      <c r="R9" s="6">
        <v>15.945</v>
      </c>
      <c r="S9" s="3">
        <v>6.9017010777821098E-4</v>
      </c>
    </row>
    <row r="10" spans="1:19" x14ac:dyDescent="0.2">
      <c r="A10" t="s">
        <v>97</v>
      </c>
      <c r="B10" s="6">
        <v>36.556643837999999</v>
      </c>
      <c r="C10" s="6">
        <v>23.632191899999999</v>
      </c>
      <c r="D10">
        <v>94</v>
      </c>
      <c r="E10" s="4">
        <v>90.462000000000003</v>
      </c>
      <c r="H10" t="s">
        <v>97</v>
      </c>
      <c r="I10" s="11">
        <f>1000*'By site'!K9/'By site'!CE9</f>
        <v>0.35324617460032459</v>
      </c>
      <c r="J10" s="11">
        <v>0.54591699999999999</v>
      </c>
      <c r="K10" s="9">
        <f t="shared" si="0"/>
        <v>1.5454293330074136</v>
      </c>
      <c r="M10" t="s">
        <v>97</v>
      </c>
      <c r="N10">
        <v>15992</v>
      </c>
      <c r="O10">
        <v>94</v>
      </c>
      <c r="P10">
        <v>39</v>
      </c>
      <c r="Q10" s="6">
        <v>7.4688594297148603</v>
      </c>
      <c r="R10" s="6">
        <v>13.337</v>
      </c>
      <c r="S10" s="3">
        <v>8.3397948974487204E-4</v>
      </c>
    </row>
    <row r="11" spans="1:19" x14ac:dyDescent="0.2">
      <c r="A11" t="s">
        <v>96</v>
      </c>
      <c r="B11" s="6">
        <v>37.591104176000002</v>
      </c>
      <c r="C11" s="6">
        <v>20.646401600000001</v>
      </c>
      <c r="D11">
        <v>48</v>
      </c>
      <c r="E11" s="4">
        <v>45.261000000000003</v>
      </c>
      <c r="H11" t="s">
        <v>96</v>
      </c>
      <c r="I11" s="11">
        <f>1000*'By site'!K10/'By site'!CE10</f>
        <v>0.26911196549090538</v>
      </c>
      <c r="J11" s="11">
        <v>0.52352500000000002</v>
      </c>
      <c r="K11" s="9">
        <f t="shared" si="0"/>
        <v>1.9453798683570334</v>
      </c>
      <c r="M11" t="s">
        <v>96</v>
      </c>
      <c r="N11">
        <v>16579</v>
      </c>
      <c r="O11">
        <v>48</v>
      </c>
      <c r="P11">
        <v>27</v>
      </c>
      <c r="Q11" s="6">
        <v>7.2219675493093698</v>
      </c>
      <c r="R11" s="6">
        <v>8.0670000000000002</v>
      </c>
      <c r="S11" s="3">
        <v>4.8657940768441997E-4</v>
      </c>
    </row>
    <row r="12" spans="1:19" x14ac:dyDescent="0.2">
      <c r="A12" t="s">
        <v>98</v>
      </c>
      <c r="B12" s="6">
        <v>23.222999999999999</v>
      </c>
      <c r="C12" s="6">
        <v>15.958829700000001</v>
      </c>
      <c r="D12">
        <v>47</v>
      </c>
      <c r="E12" s="4">
        <v>41.14</v>
      </c>
      <c r="H12" t="s">
        <v>98</v>
      </c>
      <c r="I12" s="11">
        <f>1000*'By site'!K11/'By site'!CE11</f>
        <v>0.2080101582502234</v>
      </c>
      <c r="J12" s="11">
        <v>0.50917599999999996</v>
      </c>
      <c r="K12" s="9">
        <f t="shared" si="0"/>
        <v>2.4478419913872314</v>
      </c>
      <c r="M12" t="s">
        <v>98</v>
      </c>
      <c r="N12">
        <v>16743</v>
      </c>
      <c r="O12">
        <v>47</v>
      </c>
      <c r="P12">
        <v>35</v>
      </c>
      <c r="Q12" s="6">
        <v>3.5712237950188102</v>
      </c>
      <c r="R12" s="6">
        <v>15.715999999999999</v>
      </c>
      <c r="S12" s="3">
        <v>9.3866093292719395E-4</v>
      </c>
    </row>
    <row r="13" spans="1:19" x14ac:dyDescent="0.2">
      <c r="A13" t="s">
        <v>99</v>
      </c>
      <c r="B13" s="6">
        <v>75.042000000000002</v>
      </c>
      <c r="C13" s="6">
        <v>11.1023447</v>
      </c>
      <c r="D13">
        <v>34</v>
      </c>
      <c r="E13" s="4">
        <v>27.151</v>
      </c>
      <c r="H13" t="s">
        <v>99</v>
      </c>
      <c r="I13" s="11">
        <f>1000*'By site'!K12/'By site'!CE12</f>
        <v>2.0040840830601874</v>
      </c>
      <c r="J13" s="11">
        <v>4.579421</v>
      </c>
      <c r="K13" s="9">
        <f t="shared" si="0"/>
        <v>2.2850443445503226</v>
      </c>
      <c r="M13" t="s">
        <v>99</v>
      </c>
      <c r="N13">
        <v>7254</v>
      </c>
      <c r="O13">
        <v>34</v>
      </c>
      <c r="P13">
        <v>27</v>
      </c>
      <c r="Q13" s="6">
        <v>5.0860215053763396</v>
      </c>
      <c r="R13" s="6">
        <v>8.4909999999999997</v>
      </c>
      <c r="S13" s="3">
        <v>1.1705266060104799E-3</v>
      </c>
    </row>
    <row r="14" spans="1:19" x14ac:dyDescent="0.2">
      <c r="A14" t="s">
        <v>100</v>
      </c>
      <c r="B14" s="6">
        <v>66.55</v>
      </c>
      <c r="C14" s="6">
        <v>10.160212599999999</v>
      </c>
      <c r="D14">
        <v>40</v>
      </c>
      <c r="E14" s="4">
        <v>31.591999999999999</v>
      </c>
      <c r="H14" t="s">
        <v>100</v>
      </c>
      <c r="I14" s="11">
        <f>1000*'By site'!K13/'By site'!CE13</f>
        <v>2.01327945823031</v>
      </c>
      <c r="J14" s="11">
        <v>4.605823</v>
      </c>
      <c r="K14" s="9">
        <f t="shared" si="0"/>
        <v>2.2877216479666256</v>
      </c>
      <c r="M14" t="s">
        <v>100</v>
      </c>
      <c r="N14">
        <v>7265</v>
      </c>
      <c r="O14">
        <v>40</v>
      </c>
      <c r="P14">
        <v>33</v>
      </c>
      <c r="Q14" s="6">
        <v>5.8016517549896802</v>
      </c>
      <c r="R14" s="6">
        <v>8.4730000000000008</v>
      </c>
      <c r="S14" s="3">
        <v>1.16627666896077E-3</v>
      </c>
    </row>
    <row r="15" spans="1:19" x14ac:dyDescent="0.2">
      <c r="A15" t="s">
        <v>101</v>
      </c>
      <c r="B15" s="6">
        <v>105.413193072</v>
      </c>
      <c r="C15" s="6">
        <v>92.241416200000003</v>
      </c>
      <c r="D15">
        <v>64</v>
      </c>
      <c r="E15" s="4">
        <v>62</v>
      </c>
      <c r="H15" t="s">
        <v>101</v>
      </c>
      <c r="I15" s="11">
        <f>1000*'By site'!K14/'By site'!CE14</f>
        <v>3.9341650577811422</v>
      </c>
      <c r="J15" s="11">
        <v>1.678679</v>
      </c>
      <c r="K15" s="9">
        <f t="shared" si="0"/>
        <v>0.42669257017568302</v>
      </c>
      <c r="M15" t="s">
        <v>101</v>
      </c>
      <c r="N15">
        <v>12801</v>
      </c>
      <c r="O15">
        <v>64</v>
      </c>
      <c r="P15">
        <v>43</v>
      </c>
      <c r="Q15" s="6">
        <v>1.72603702835716</v>
      </c>
      <c r="R15" s="6">
        <v>29.501999999999999</v>
      </c>
      <c r="S15" s="3">
        <v>2.3046636981485799E-3</v>
      </c>
    </row>
    <row r="16" spans="1:19" x14ac:dyDescent="0.2">
      <c r="A16" t="s">
        <v>89</v>
      </c>
      <c r="B16" s="6">
        <v>52.98</v>
      </c>
      <c r="C16" s="6">
        <v>8.3545392399999994</v>
      </c>
      <c r="D16">
        <v>56</v>
      </c>
      <c r="E16" s="4">
        <v>41.13</v>
      </c>
      <c r="H16" t="s">
        <v>89</v>
      </c>
      <c r="I16" s="11">
        <f>1000*'By site'!K15/'By site'!CE15</f>
        <v>3.0569241279195123</v>
      </c>
      <c r="J16" s="11">
        <v>3.5916640000000002</v>
      </c>
      <c r="K16" s="9">
        <f t="shared" si="0"/>
        <v>1.1749274269507048</v>
      </c>
      <c r="M16" t="s">
        <v>89</v>
      </c>
      <c r="N16">
        <v>5371</v>
      </c>
      <c r="O16">
        <v>56</v>
      </c>
      <c r="P16">
        <v>42</v>
      </c>
      <c r="Q16" s="6">
        <v>3.5211320052131798</v>
      </c>
      <c r="R16" s="6">
        <v>24.905000000000001</v>
      </c>
      <c r="S16" s="3">
        <v>4.6369391174827801E-3</v>
      </c>
    </row>
    <row r="17" spans="1:23" x14ac:dyDescent="0.2">
      <c r="A17" t="s">
        <v>102</v>
      </c>
      <c r="B17" s="6">
        <v>55.886000000000003</v>
      </c>
      <c r="C17" s="6">
        <v>10.8892576122736</v>
      </c>
      <c r="D17">
        <v>80</v>
      </c>
      <c r="E17" s="4">
        <v>80</v>
      </c>
      <c r="H17" t="s">
        <v>102</v>
      </c>
      <c r="I17" s="11">
        <f>1000*'By site'!K16/'By site'!CE16</f>
        <v>4.2104024166119203</v>
      </c>
      <c r="J17" s="11">
        <v>1.6910879999999999</v>
      </c>
      <c r="K17" s="9">
        <f t="shared" si="0"/>
        <v>0.40164521883416693</v>
      </c>
      <c r="M17" t="s">
        <v>102</v>
      </c>
      <c r="N17">
        <v>4606</v>
      </c>
      <c r="O17">
        <v>80</v>
      </c>
      <c r="P17">
        <v>49</v>
      </c>
      <c r="Q17" s="6">
        <v>1.7370820668692999</v>
      </c>
      <c r="R17" s="6">
        <v>40.006</v>
      </c>
      <c r="S17" s="3">
        <v>8.6856274424663496E-3</v>
      </c>
    </row>
    <row r="18" spans="1:23" x14ac:dyDescent="0.2">
      <c r="A18" t="s">
        <v>103</v>
      </c>
      <c r="B18" s="6">
        <v>58.47</v>
      </c>
      <c r="C18" s="6">
        <v>16.353133799999998</v>
      </c>
      <c r="D18">
        <v>1052</v>
      </c>
      <c r="E18" s="4">
        <v>998.00599999999997</v>
      </c>
      <c r="H18" t="s">
        <v>103</v>
      </c>
      <c r="I18">
        <f>1000*'By site'!K17/'By site'!CE17</f>
        <v>13.453211996184498</v>
      </c>
      <c r="M18" t="s">
        <v>103</v>
      </c>
      <c r="N18">
        <v>9404</v>
      </c>
      <c r="O18">
        <v>1052</v>
      </c>
      <c r="P18">
        <v>540</v>
      </c>
      <c r="Q18" s="6">
        <v>8.8941939600170201</v>
      </c>
      <c r="R18" s="6">
        <v>166.93299999999999</v>
      </c>
      <c r="S18" s="3">
        <v>1.77512760527435E-2</v>
      </c>
    </row>
    <row r="19" spans="1:23" x14ac:dyDescent="0.2">
      <c r="A19" t="s">
        <v>104</v>
      </c>
      <c r="B19" s="6">
        <v>53.834000000000003</v>
      </c>
      <c r="C19" s="6">
        <v>16.353133799999998</v>
      </c>
      <c r="D19">
        <v>922</v>
      </c>
      <c r="E19" s="4">
        <v>875.14800000000002</v>
      </c>
      <c r="H19" t="s">
        <v>104</v>
      </c>
      <c r="I19">
        <f>1000*'By site'!K18/'By site'!CE18</f>
        <v>16.403047093798396</v>
      </c>
      <c r="M19" t="s">
        <v>104</v>
      </c>
      <c r="N19">
        <v>4358</v>
      </c>
      <c r="O19">
        <v>922</v>
      </c>
      <c r="P19">
        <v>447</v>
      </c>
      <c r="Q19" s="6">
        <v>12.681964203763201</v>
      </c>
      <c r="R19" s="6">
        <v>117.85899999999999</v>
      </c>
      <c r="S19" s="3">
        <v>2.7044286369894501E-2</v>
      </c>
    </row>
    <row r="20" spans="1:23" x14ac:dyDescent="0.2">
      <c r="A20" t="s">
        <v>105</v>
      </c>
      <c r="B20" s="6">
        <v>109.70699999999999</v>
      </c>
      <c r="C20" s="6">
        <v>16.353133799999998</v>
      </c>
      <c r="D20">
        <v>130</v>
      </c>
      <c r="E20" s="4">
        <v>124.363</v>
      </c>
      <c r="H20" t="s">
        <v>105</v>
      </c>
      <c r="I20">
        <f>1000*'By site'!K19/'By site'!CE19</f>
        <v>10.954254280266323</v>
      </c>
      <c r="M20" t="s">
        <v>105</v>
      </c>
      <c r="N20">
        <v>5045</v>
      </c>
      <c r="O20">
        <v>130</v>
      </c>
      <c r="P20">
        <v>93</v>
      </c>
      <c r="Q20" s="6">
        <v>5.6239841427155604</v>
      </c>
      <c r="R20" s="6">
        <v>49.05</v>
      </c>
      <c r="S20" s="3">
        <v>9.7224975222993098E-3</v>
      </c>
    </row>
    <row r="21" spans="1:23" x14ac:dyDescent="0.2">
      <c r="A21" t="s">
        <v>134</v>
      </c>
      <c r="B21" s="6">
        <v>495.44525599999997</v>
      </c>
      <c r="C21" s="6">
        <v>495.44525599999997</v>
      </c>
      <c r="D21">
        <v>12</v>
      </c>
      <c r="E21" s="4">
        <v>11</v>
      </c>
      <c r="H21" t="s">
        <v>134</v>
      </c>
      <c r="I21">
        <f>1000*'By site'!K20/'By site'!CE20</f>
        <v>8.6272975160007555</v>
      </c>
      <c r="M21" t="s">
        <v>134</v>
      </c>
      <c r="N21">
        <v>2381</v>
      </c>
      <c r="O21">
        <v>12</v>
      </c>
      <c r="P21">
        <v>12</v>
      </c>
      <c r="Q21" s="6">
        <v>1.3481730365392699</v>
      </c>
      <c r="R21" s="6">
        <v>11.47</v>
      </c>
      <c r="S21" s="3">
        <v>4.8173036539269198E-3</v>
      </c>
    </row>
    <row r="23" spans="1:23" x14ac:dyDescent="0.2">
      <c r="A23" s="22" t="s">
        <v>204</v>
      </c>
      <c r="B23" t="s">
        <v>205</v>
      </c>
      <c r="C23" t="str" cm="1">
        <f t="array" ref="C23:C42">'By site'!AB1:AB20</f>
        <v>Total covered production (t(CH4)/hr)</v>
      </c>
      <c r="D23" t="s">
        <v>206</v>
      </c>
      <c r="G23" s="22" t="s">
        <v>209</v>
      </c>
      <c r="H23" t="s">
        <v>210</v>
      </c>
      <c r="I23" t="s">
        <v>211</v>
      </c>
      <c r="J23" t="s">
        <v>212</v>
      </c>
      <c r="K23" t="s">
        <v>213</v>
      </c>
      <c r="N23" s="22" t="s">
        <v>214</v>
      </c>
      <c r="O23" t="s">
        <v>215</v>
      </c>
      <c r="P23" t="s">
        <v>216</v>
      </c>
      <c r="Q23" t="s">
        <v>217</v>
      </c>
      <c r="R23" t="s">
        <v>218</v>
      </c>
      <c r="T23" s="22" t="s">
        <v>219</v>
      </c>
      <c r="U23" t="s">
        <v>220</v>
      </c>
      <c r="V23" t="s">
        <v>221</v>
      </c>
      <c r="W23" t="s">
        <v>222</v>
      </c>
    </row>
    <row r="24" spans="1:23" x14ac:dyDescent="0.2">
      <c r="A24" t="s">
        <v>107</v>
      </c>
      <c r="B24" t="str">
        <f>ROUND('By site'!U2, 0) &amp; " ["  &amp; ROUND('By site'!V2, 0) &amp; ", " &amp; ROUND('By site'!W2, 0) &amp; "]"</f>
        <v>188 [177, 202]</v>
      </c>
      <c r="C24" s="4">
        <v>1952.04513368984</v>
      </c>
      <c r="D24" t="str">
        <f>ROUND('By site'!BK2*100, 2) &amp; " ["  &amp; ROUND('By site'!BN2*100, 2) &amp; ", " &amp; ROUND('By site'!BO2*100, 2) &amp; "]"</f>
        <v>9.65 [9.07, 10.37]</v>
      </c>
      <c r="G24" t="s">
        <v>107</v>
      </c>
      <c r="H24" t="str">
        <f>ROUND('By site'!AY2*100, 2) &amp; CHAR(10) &amp; "["  &amp; ROUND('By site'!AZ2*100, 2) &amp; ", " &amp; ROUND('By site'!BA2*100, 2) &amp; "]"</f>
        <v>0.92
[0.88, 0.96]</v>
      </c>
      <c r="I24" t="str">
        <f>ROUND('By site'!BB2*100, 2) &amp; CHAR(10) &amp; "["  &amp; ROUND('By site'!BC2*100, 2) &amp; ", " &amp; ROUND('By site'!BD2*100, 2) &amp; "]"</f>
        <v>4.5
[3.92, 5.14]</v>
      </c>
      <c r="J24" t="str">
        <f>ROUND('By site'!BE2*100, 2) &amp; CHAR(10) &amp; "["  &amp; ROUND('By site'!BF2*100, 2) &amp; ", " &amp; ROUND('By site'!BG2*100, 2) &amp; "]"</f>
        <v>0.24
[0.18, 0.31]</v>
      </c>
      <c r="K24" t="str">
        <f>ROUND('By site'!BH2*100, 2) &amp; CHAR(10) &amp; "["  &amp; ROUND('By site'!BI2*100, 2) &amp; ", " &amp; ROUND('By site'!BJ2*100, 2) &amp; "]"</f>
        <v>5.66
[5.37, 6]</v>
      </c>
      <c r="N24" t="s">
        <v>107</v>
      </c>
      <c r="O24" t="str">
        <f>ROUND('By site'!BV2*100, 2) &amp; CHAR(10) &amp; "["  &amp; ROUND('By site'!BW2*100, 2) &amp; ", " &amp; ROUND('By site'!BX2*100, 2) &amp; "]"</f>
        <v>0.38
[0.31, 0.45]</v>
      </c>
      <c r="P24" t="str">
        <f>ROUND('By site'!BP2*100, 2) &amp; CHAR(10) &amp; "["  &amp; ROUND('By site'!BQ2*100, 2) &amp; ", " &amp; ROUND('By site'!BR2*100, 2) &amp; "]"</f>
        <v>3.37
[2.98, 3.96]</v>
      </c>
      <c r="Q24" t="str">
        <f>ROUND('By site'!BS2*100, 2) &amp; CHAR(10) &amp; "["  &amp; ROUND('By site'!BT2*100, 2) &amp; ", " &amp; ROUND('By site'!BU2*100, 2) &amp; "]"</f>
        <v>0.23
[0.2, 0.27]</v>
      </c>
      <c r="R24" t="str">
        <f>ROUND('By site'!BY2*100, 2) &amp; CHAR(10) &amp; "["  &amp; ROUND('By site'!BZ2*100, 2) &amp; ", " &amp; ROUND('By site'!CA2*100, 2) &amp; "]"</f>
        <v>3.98
[3.52, 4.65]</v>
      </c>
      <c r="T24" t="s">
        <v>107</v>
      </c>
      <c r="U24" s="3" cm="1">
        <f t="array" ref="U24:U42">'By site'!BH2:BH20/'By site'!DM2:DM20</f>
        <v>1.1999355882950946E-2</v>
      </c>
      <c r="V24" s="3" cm="1">
        <f t="array" ref="V24:V42">'By site'!DY2:DY20</f>
        <v>7.2701047721023199E-3</v>
      </c>
      <c r="W24" s="18">
        <f>(U24-V24)/V24</f>
        <v>0.65050659641058428</v>
      </c>
    </row>
    <row r="25" spans="1:23" x14ac:dyDescent="0.2">
      <c r="A25" t="s">
        <v>90</v>
      </c>
      <c r="B25" t="str">
        <f>ROUND('By site'!U3, 0) &amp; " ["  &amp; ROUND('By site'!V3, 0) &amp; ", " &amp; ROUND('By site'!W3, 0) &amp; "]"</f>
        <v>556 [533, 580]</v>
      </c>
      <c r="C25" s="4">
        <v>10526.8147291444</v>
      </c>
      <c r="D25" t="str">
        <f>ROUND('By site'!BK3*100, 2) &amp; " ["  &amp; ROUND('By site'!BN3*100, 2) &amp; ", " &amp; ROUND('By site'!BO3*100, 2) &amp; "]"</f>
        <v>5.29 [5.06, 5.51]</v>
      </c>
      <c r="G25" t="s">
        <v>90</v>
      </c>
      <c r="H25" t="str">
        <f>ROUND('By site'!AY3*100, 2) &amp; CHAR(10) &amp; "["  &amp; ROUND('By site'!AZ3*100, 2) &amp; ", " &amp; ROUND('By site'!BA3*100, 2) &amp; "]"</f>
        <v>0.66
[0.64, 0.68]</v>
      </c>
      <c r="I25" t="str">
        <f>ROUND('By site'!BB3*100, 2) &amp; CHAR(10) &amp; "["  &amp; ROUND('By site'!BC3*100, 2) &amp; ", " &amp; ROUND('By site'!BD3*100, 2) &amp; "]"</f>
        <v>2.24
[2.06, 2.43]</v>
      </c>
      <c r="J25" t="str">
        <f>ROUND('By site'!BE3*100, 2) &amp; CHAR(10) &amp; "["  &amp; ROUND('By site'!BF3*100, 2) &amp; ", " &amp; ROUND('By site'!BG3*100, 2) &amp; "]"</f>
        <v>0
[0, 0]</v>
      </c>
      <c r="K25" t="str">
        <f>ROUND('By site'!BH3*100, 2) &amp; CHAR(10) &amp; "["  &amp; ROUND('By site'!BI3*100, 2) &amp; ", " &amp; ROUND('By site'!BJ3*100, 2) &amp; "]"</f>
        <v>2.9
[2.81, 3]</v>
      </c>
      <c r="N25" t="s">
        <v>90</v>
      </c>
      <c r="O25" t="str">
        <f>ROUND('By site'!BV3*100, 2) &amp; CHAR(10) &amp; "["  &amp; ROUND('By site'!BW3*100, 2) &amp; ", " &amp; ROUND('By site'!BX3*100, 2) &amp; "]"</f>
        <v>0.36
[0.3, 0.43]</v>
      </c>
      <c r="P25" t="str">
        <f>ROUND('By site'!BP3*100, 2) &amp; CHAR(10) &amp; "["  &amp; ROUND('By site'!BQ3*100, 2) &amp; ", " &amp; ROUND('By site'!BR3*100, 2) &amp; "]"</f>
        <v>2.02
[1.9, 2.15]</v>
      </c>
      <c r="Q25" t="str">
        <f>ROUND('By site'!BS3*100, 2) &amp; CHAR(10) &amp; "["  &amp; ROUND('By site'!BT3*100, 2) &amp; ", " &amp; ROUND('By site'!BU3*100, 2) &amp; "]"</f>
        <v>0
[0, 0]</v>
      </c>
      <c r="R25" t="str">
        <f>ROUND('By site'!BY3*100, 2) &amp; CHAR(10) &amp; "["  &amp; ROUND('By site'!BZ3*100, 2) &amp; ", " &amp; ROUND('By site'!CA3*100, 2) &amp; "]"</f>
        <v>2.38
[2.19, 2.58]</v>
      </c>
      <c r="T25" t="s">
        <v>90</v>
      </c>
      <c r="U25" s="3">
        <v>7.9478448153540975E-3</v>
      </c>
      <c r="V25" s="3">
        <v>6.4999999999999997E-3</v>
      </c>
      <c r="W25" s="18">
        <f t="shared" ref="W25:W42" si="1">(U25-V25)/V25</f>
        <v>0.22274535620832275</v>
      </c>
    </row>
    <row r="26" spans="1:23" x14ac:dyDescent="0.2">
      <c r="A26" t="s">
        <v>91</v>
      </c>
      <c r="B26" t="str">
        <f>ROUND('By site'!U4, 0) &amp; " ["  &amp; ROUND('By site'!V4, 0) &amp; ", " &amp; ROUND('By site'!W4, 0) &amp; "]"</f>
        <v>134 [123, 145]</v>
      </c>
      <c r="C26" s="4">
        <v>4766.5263912834198</v>
      </c>
      <c r="D26" t="str">
        <f>ROUND('By site'!BK4*100, 2) &amp; " ["  &amp; ROUND('By site'!BN4*100, 2) &amp; ", " &amp; ROUND('By site'!BO4*100, 2) &amp; "]"</f>
        <v>2.81 [2.59, 3.05]</v>
      </c>
      <c r="G26" t="s">
        <v>91</v>
      </c>
      <c r="H26" t="str">
        <f>ROUND('By site'!AY4*100, 2) &amp; CHAR(10) &amp; "["  &amp; ROUND('By site'!AZ4*100, 2) &amp; ", " &amp; ROUND('By site'!BA4*100, 2) &amp; "]"</f>
        <v>0.47
[0.44, 0.5]</v>
      </c>
      <c r="I26" t="str">
        <f>ROUND('By site'!BB4*100, 2) &amp; CHAR(10) &amp; "["  &amp; ROUND('By site'!BC4*100, 2) &amp; ", " &amp; ROUND('By site'!BD4*100, 2) &amp; "]"</f>
        <v>0.73
[0.62, 0.84]</v>
      </c>
      <c r="J26" t="str">
        <f>ROUND('By site'!BE4*100, 2) &amp; CHAR(10) &amp; "["  &amp; ROUND('By site'!BF4*100, 2) &amp; ", " &amp; ROUND('By site'!BG4*100, 2) &amp; "]"</f>
        <v>0
[0, 0]</v>
      </c>
      <c r="K26" t="str">
        <f>ROUND('By site'!BH4*100, 2) &amp; CHAR(10) &amp; "["  &amp; ROUND('By site'!BI4*100, 2) &amp; ", " &amp; ROUND('By site'!BJ4*100, 2) &amp; "]"</f>
        <v>1.2
[1.13, 1.27]</v>
      </c>
      <c r="N26" t="s">
        <v>91</v>
      </c>
      <c r="O26" t="str">
        <f>ROUND('By site'!BV4*100, 2) &amp; CHAR(10) &amp; "["  &amp; ROUND('By site'!BW4*100, 2) &amp; ", " &amp; ROUND('By site'!BX4*100, 2) &amp; "]"</f>
        <v>0.34
[0.28, 0.41]</v>
      </c>
      <c r="P26" t="str">
        <f>ROUND('By site'!BP4*100, 2) &amp; CHAR(10) &amp; "["  &amp; ROUND('By site'!BQ4*100, 2) &amp; ", " &amp; ROUND('By site'!BR4*100, 2) &amp; "]"</f>
        <v>1.26
[1.12, 1.42]</v>
      </c>
      <c r="Q26" t="str">
        <f>ROUND('By site'!BS4*100, 2) &amp; CHAR(10) &amp; "["  &amp; ROUND('By site'!BT4*100, 2) &amp; ", " &amp; ROUND('By site'!BU4*100, 2) &amp; "]"</f>
        <v>0
[0, 0]</v>
      </c>
      <c r="R26" t="str">
        <f>ROUND('By site'!BY4*100, 2) &amp; CHAR(10) &amp; "["  &amp; ROUND('By site'!BZ4*100, 2) &amp; ", " &amp; ROUND('By site'!CA4*100, 2) &amp; "]"</f>
        <v>1.61
[1.4, 1.83]</v>
      </c>
      <c r="T26" t="s">
        <v>91</v>
      </c>
      <c r="U26" s="3">
        <v>5.671728009808326E-3</v>
      </c>
      <c r="V26" s="3">
        <v>6.0000000000000001E-3</v>
      </c>
      <c r="W26" s="18">
        <f t="shared" si="1"/>
        <v>-5.4711998365279013E-2</v>
      </c>
    </row>
    <row r="27" spans="1:23" x14ac:dyDescent="0.2">
      <c r="A27" t="s">
        <v>93</v>
      </c>
      <c r="B27" t="str">
        <f>ROUND('By site'!U5, 0) &amp; " ["  &amp; ROUND('By site'!V5, 0) &amp; ", " &amp; ROUND('By site'!W5, 0) &amp; "]"</f>
        <v>131 [122, 140]</v>
      </c>
      <c r="C27" s="4">
        <v>5950.4296949999998</v>
      </c>
      <c r="D27" t="str">
        <f>ROUND('By site'!BK5*100, 2) &amp; " ["  &amp; ROUND('By site'!BN5*100, 2) &amp; ", " &amp; ROUND('By site'!BO5*100, 2) &amp; "]"</f>
        <v>2.19 [2.05, 2.35]</v>
      </c>
      <c r="G27" t="s">
        <v>93</v>
      </c>
      <c r="H27" t="str">
        <f>ROUND('By site'!AY5*100, 2) &amp; CHAR(10) &amp; "["  &amp; ROUND('By site'!AZ5*100, 2) &amp; ", " &amp; ROUND('By site'!BA5*100, 2) &amp; "]"</f>
        <v>0.47
[0.44, 0.5]</v>
      </c>
      <c r="I27" t="str">
        <f>ROUND('By site'!BB5*100, 2) &amp; CHAR(10) &amp; "["  &amp; ROUND('By site'!BC5*100, 2) &amp; ", " &amp; ROUND('By site'!BD5*100, 2) &amp; "]"</f>
        <v>0.62
[0.5, 0.75]</v>
      </c>
      <c r="J27" t="str">
        <f>ROUND('By site'!BE5*100, 2) &amp; CHAR(10) &amp; "["  &amp; ROUND('By site'!BF5*100, 2) &amp; ", " &amp; ROUND('By site'!BG5*100, 2) &amp; "]"</f>
        <v>0
[0, 0]</v>
      </c>
      <c r="K27" t="str">
        <f>ROUND('By site'!BH5*100, 2) &amp; CHAR(10) &amp; "["  &amp; ROUND('By site'!BI5*100, 2) &amp; ", " &amp; ROUND('By site'!BJ5*100, 2) &amp; "]"</f>
        <v>1.09
[1.04, 1.15]</v>
      </c>
      <c r="N27" t="s">
        <v>93</v>
      </c>
      <c r="O27" t="str">
        <f>ROUND('By site'!BV5*100, 2) &amp; CHAR(10) &amp; "["  &amp; ROUND('By site'!BW5*100, 2) &amp; ", " &amp; ROUND('By site'!BX5*100, 2) &amp; "]"</f>
        <v>0.34
[0.28, 0.41]</v>
      </c>
      <c r="P27" t="str">
        <f>ROUND('By site'!BP5*100, 2) &amp; CHAR(10) &amp; "["  &amp; ROUND('By site'!BQ5*100, 2) &amp; ", " &amp; ROUND('By site'!BR5*100, 2) &amp; "]"</f>
        <v>0.76
[0.7, 0.83]</v>
      </c>
      <c r="Q27" t="str">
        <f>ROUND('By site'!BS5*100, 2) &amp; CHAR(10) &amp; "["  &amp; ROUND('By site'!BT5*100, 2) &amp; ", " &amp; ROUND('By site'!BU5*100, 2) &amp; "]"</f>
        <v>0
[0, 0]</v>
      </c>
      <c r="R27" t="str">
        <f>ROUND('By site'!BY5*100, 2) &amp; CHAR(10) &amp; "["  &amp; ROUND('By site'!BZ5*100, 2) &amp; ", " &amp; ROUND('By site'!CA5*100, 2) &amp; "]"</f>
        <v>1.1
[0.98, 1.23]</v>
      </c>
      <c r="T27" t="s">
        <v>93</v>
      </c>
      <c r="U27" s="3">
        <v>5.8452265682899856E-3</v>
      </c>
      <c r="V27" s="3">
        <v>6.0000000000000001E-3</v>
      </c>
      <c r="W27" s="18">
        <f t="shared" si="1"/>
        <v>-2.5795571951669084E-2</v>
      </c>
    </row>
    <row r="28" spans="1:23" x14ac:dyDescent="0.2">
      <c r="A28" t="s">
        <v>92</v>
      </c>
      <c r="B28" t="str">
        <f>ROUND('By site'!U6, 0) &amp; " ["  &amp; ROUND('By site'!V6, 0) &amp; ", " &amp; ROUND('By site'!W6, 0) &amp; "]"</f>
        <v>131 [121, 141]</v>
      </c>
      <c r="C28" s="4">
        <v>6227.8408195989296</v>
      </c>
      <c r="D28" t="str">
        <f>ROUND('By site'!BK6*100, 2) &amp; " ["  &amp; ROUND('By site'!BN6*100, 2) &amp; ", " &amp; ROUND('By site'!BO6*100, 2) &amp; "]"</f>
        <v>2.1 [1.94, 2.27]</v>
      </c>
      <c r="G28" t="s">
        <v>92</v>
      </c>
      <c r="H28" t="str">
        <f>ROUND('By site'!AY6*100, 2) &amp; CHAR(10) &amp; "["  &amp; ROUND('By site'!AZ6*100, 2) &amp; ", " &amp; ROUND('By site'!BA6*100, 2) &amp; "]"</f>
        <v>0.49
[0.46, 0.51]</v>
      </c>
      <c r="I28" t="str">
        <f>ROUND('By site'!BB6*100, 2) &amp; CHAR(10) &amp; "["  &amp; ROUND('By site'!BC6*100, 2) &amp; ", " &amp; ROUND('By site'!BD6*100, 2) &amp; "]"</f>
        <v>0.57
[0.44, 0.7]</v>
      </c>
      <c r="J28" t="str">
        <f>ROUND('By site'!BE6*100, 2) &amp; CHAR(10) &amp; "["  &amp; ROUND('By site'!BF6*100, 2) &amp; ", " &amp; ROUND('By site'!BG6*100, 2) &amp; "]"</f>
        <v>0
[0, 0]</v>
      </c>
      <c r="K28" t="str">
        <f>ROUND('By site'!BH6*100, 2) &amp; CHAR(10) &amp; "["  &amp; ROUND('By site'!BI6*100, 2) &amp; ", " &amp; ROUND('By site'!BJ6*100, 2) &amp; "]"</f>
        <v>1.05
[0.99, 1.11]</v>
      </c>
      <c r="N28" t="s">
        <v>92</v>
      </c>
      <c r="O28" t="str">
        <f>ROUND('By site'!BV6*100, 2) &amp; CHAR(10) &amp; "["  &amp; ROUND('By site'!BW6*100, 2) &amp; ", " &amp; ROUND('By site'!BX6*100, 2) &amp; "]"</f>
        <v>0.34
[0.28, 0.41]</v>
      </c>
      <c r="P28" t="str">
        <f>ROUND('By site'!BP6*100, 2) &amp; CHAR(10) &amp; "["  &amp; ROUND('By site'!BQ6*100, 2) &amp; ", " &amp; ROUND('By site'!BR6*100, 2) &amp; "]"</f>
        <v>0.71
[0.63, 0.79]</v>
      </c>
      <c r="Q28" t="str">
        <f>ROUND('By site'!BS6*100, 2) &amp; CHAR(10) &amp; "["  &amp; ROUND('By site'!BT6*100, 2) &amp; ", " &amp; ROUND('By site'!BU6*100, 2) &amp; "]"</f>
        <v>0
[0, 0]</v>
      </c>
      <c r="R28" t="str">
        <f>ROUND('By site'!BY6*100, 2) &amp; CHAR(10) &amp; "["  &amp; ROUND('By site'!BZ6*100, 2) &amp; ", " &amp; ROUND('By site'!CA6*100, 2) &amp; "]"</f>
        <v>1.05
[0.91, 1.19]</v>
      </c>
      <c r="T28" t="s">
        <v>92</v>
      </c>
      <c r="U28" s="3">
        <v>5.8952503937614803E-3</v>
      </c>
      <c r="V28" s="3">
        <v>6.0000000000000001E-3</v>
      </c>
      <c r="W28" s="18">
        <f t="shared" si="1"/>
        <v>-1.7458267706419964E-2</v>
      </c>
    </row>
    <row r="29" spans="1:23" x14ac:dyDescent="0.2">
      <c r="A29" t="s">
        <v>94</v>
      </c>
      <c r="B29" t="str">
        <f>ROUND('By site'!U7, 0) &amp; " ["  &amp; ROUND('By site'!V7, 0) &amp; ", " &amp; ROUND('By site'!W7, 0) &amp; "]"</f>
        <v>11 [9, 13]</v>
      </c>
      <c r="C29" s="4">
        <v>264.97395591978602</v>
      </c>
      <c r="D29" t="str">
        <f>ROUND('By site'!BK7*100, 2) &amp; " ["  &amp; ROUND('By site'!BN7*100, 2) &amp; ", " &amp; ROUND('By site'!BO7*100, 2) &amp; "]"</f>
        <v>4.12 [3.53, 4.8]</v>
      </c>
      <c r="G29" t="s">
        <v>94</v>
      </c>
      <c r="H29" t="str">
        <f>ROUND('By site'!AY7*100, 2) &amp; CHAR(10) &amp; "["  &amp; ROUND('By site'!AZ7*100, 2) &amp; ", " &amp; ROUND('By site'!BA7*100, 2) &amp; "]"</f>
        <v>0.97
[0.91, 1.04]</v>
      </c>
      <c r="I29" t="str">
        <f>ROUND('By site'!BB7*100, 2) &amp; CHAR(10) &amp; "["  &amp; ROUND('By site'!BC7*100, 2) &amp; ", " &amp; ROUND('By site'!BD7*100, 2) &amp; "]"</f>
        <v>0.9
[0.48, 1.34]</v>
      </c>
      <c r="J29" t="str">
        <f>ROUND('By site'!BE7*100, 2) &amp; CHAR(10) &amp; "["  &amp; ROUND('By site'!BF7*100, 2) &amp; ", " &amp; ROUND('By site'!BG7*100, 2) &amp; "]"</f>
        <v>0
[0, 0]</v>
      </c>
      <c r="K29" t="str">
        <f>ROUND('By site'!BH7*100, 2) &amp; CHAR(10) &amp; "["  &amp; ROUND('By site'!BI7*100, 2) &amp; ", " &amp; ROUND('By site'!BJ7*100, 2) &amp; "]"</f>
        <v>1.87
[1.57, 2.19]</v>
      </c>
      <c r="N29" t="s">
        <v>94</v>
      </c>
      <c r="O29" t="str">
        <f>ROUND('By site'!BV7*100, 2) &amp; CHAR(10) &amp; "["  &amp; ROUND('By site'!BW7*100, 2) &amp; ", " &amp; ROUND('By site'!BX7*100, 2) &amp; "]"</f>
        <v>0.45
[0.37, 0.53]</v>
      </c>
      <c r="P29" t="str">
        <f>ROUND('By site'!BP7*100, 2) &amp; CHAR(10) &amp; "["  &amp; ROUND('By site'!BQ7*100, 2) &amp; ", " &amp; ROUND('By site'!BR7*100, 2) &amp; "]"</f>
        <v>1.8
[1.4, 2.33]</v>
      </c>
      <c r="Q29" t="str">
        <f>ROUND('By site'!BS7*100, 2) &amp; CHAR(10) &amp; "["  &amp; ROUND('By site'!BT7*100, 2) &amp; ", " &amp; ROUND('By site'!BU7*100, 2) &amp; "]"</f>
        <v>0
[0, 0]</v>
      </c>
      <c r="R29" t="str">
        <f>ROUND('By site'!BY7*100, 2) &amp; CHAR(10) &amp; "["  &amp; ROUND('By site'!BZ7*100, 2) &amp; ", " &amp; ROUND('By site'!CA7*100, 2) &amp; "]"</f>
        <v>2.25
[1.77, 2.86]</v>
      </c>
      <c r="T29" t="s">
        <v>94</v>
      </c>
      <c r="U29" s="3">
        <v>9.8342156994633313E-3</v>
      </c>
      <c r="V29" s="3">
        <v>5.1200000000000002E-2</v>
      </c>
      <c r="W29" s="18">
        <f t="shared" si="1"/>
        <v>-0.80792547461985675</v>
      </c>
    </row>
    <row r="30" spans="1:23" x14ac:dyDescent="0.2">
      <c r="A30" t="s">
        <v>95</v>
      </c>
      <c r="B30" t="str">
        <f>ROUND('By site'!U8, 0) &amp; " ["  &amp; ROUND('By site'!V8, 0) &amp; ", " &amp; ROUND('By site'!W8, 0) &amp; "]"</f>
        <v>16 [14, 18]</v>
      </c>
      <c r="C30" s="4">
        <v>284.66581394117702</v>
      </c>
      <c r="D30" t="str">
        <f>ROUND('By site'!BK8*100, 2) &amp; " ["  &amp; ROUND('By site'!BN8*100, 2) &amp; ", " &amp; ROUND('By site'!BO8*100, 2) &amp; "]"</f>
        <v>5.56 [4.95, 6.27]</v>
      </c>
      <c r="G30" t="s">
        <v>95</v>
      </c>
      <c r="H30" t="str">
        <f>ROUND('By site'!AY8*100, 2) &amp; CHAR(10) &amp; "["  &amp; ROUND('By site'!AZ8*100, 2) &amp; ", " &amp; ROUND('By site'!BA8*100, 2) &amp; "]"</f>
        <v>0.94
[0.87, 1]</v>
      </c>
      <c r="I30" t="str">
        <f>ROUND('By site'!BB8*100, 2) &amp; CHAR(10) &amp; "["  &amp; ROUND('By site'!BC8*100, 2) &amp; ", " &amp; ROUND('By site'!BD8*100, 2) &amp; "]"</f>
        <v>1.57
[1, 2.19]</v>
      </c>
      <c r="J30" t="str">
        <f>ROUND('By site'!BE8*100, 2) &amp; CHAR(10) &amp; "["  &amp; ROUND('By site'!BF8*100, 2) &amp; ", " &amp; ROUND('By site'!BG8*100, 2) &amp; "]"</f>
        <v>0
[0, 0]</v>
      </c>
      <c r="K30" t="str">
        <f>ROUND('By site'!BH8*100, 2) &amp; CHAR(10) &amp; "["  &amp; ROUND('By site'!BI8*100, 2) &amp; ", " &amp; ROUND('By site'!BJ8*100, 2) &amp; "]"</f>
        <v>2.51
[2.25, 2.79]</v>
      </c>
      <c r="N30" t="s">
        <v>95</v>
      </c>
      <c r="O30" t="str">
        <f>ROUND('By site'!BV8*100, 2) &amp; CHAR(10) &amp; "["  &amp; ROUND('By site'!BW8*100, 2) &amp; ", " &amp; ROUND('By site'!BX8*100, 2) &amp; "]"</f>
        <v>0.44
[0.36, 0.52]</v>
      </c>
      <c r="P30" t="str">
        <f>ROUND('By site'!BP8*100, 2) &amp; CHAR(10) &amp; "["  &amp; ROUND('By site'!BQ8*100, 2) &amp; ", " &amp; ROUND('By site'!BR8*100, 2) &amp; "]"</f>
        <v>2.62
[2.19, 3.15]</v>
      </c>
      <c r="Q30" t="str">
        <f>ROUND('By site'!BS8*100, 2) &amp; CHAR(10) &amp; "["  &amp; ROUND('By site'!BT8*100, 2) &amp; ", " &amp; ROUND('By site'!BU8*100, 2) &amp; "]"</f>
        <v>0
[0, 0]</v>
      </c>
      <c r="R30" t="str">
        <f>ROUND('By site'!BY8*100, 2) &amp; CHAR(10) &amp; "["  &amp; ROUND('By site'!BZ8*100, 2) &amp; ", " &amp; ROUND('By site'!CA8*100, 2) &amp; "]"</f>
        <v>3.05
[2.55, 3.67]</v>
      </c>
      <c r="T30" t="s">
        <v>95</v>
      </c>
      <c r="U30" s="3">
        <v>9.5669727188886049E-3</v>
      </c>
      <c r="V30" s="3">
        <v>4.8500000000000001E-2</v>
      </c>
      <c r="W30" s="18">
        <f t="shared" si="1"/>
        <v>-0.80274283053837925</v>
      </c>
    </row>
    <row r="31" spans="1:23" x14ac:dyDescent="0.2">
      <c r="A31" t="s">
        <v>97</v>
      </c>
      <c r="B31" t="str">
        <f>ROUND('By site'!U9, 0) &amp; " ["  &amp; ROUND('By site'!V9, 0) &amp; ", " &amp; ROUND('By site'!W9, 0) &amp; "]"</f>
        <v>11 [10, 12]</v>
      </c>
      <c r="C31" s="4">
        <v>231.42088684492001</v>
      </c>
      <c r="D31" t="str">
        <f>ROUND('By site'!BK9*100, 2) &amp; " ["  &amp; ROUND('By site'!BN9*100, 2) &amp; ", " &amp; ROUND('By site'!BO9*100, 2) &amp; "]"</f>
        <v>4.63 [4.13, 5.22]</v>
      </c>
      <c r="G31" t="s">
        <v>97</v>
      </c>
      <c r="H31" t="str">
        <f>ROUND('By site'!AY9*100, 2) &amp; CHAR(10) &amp; "["  &amp; ROUND('By site'!AZ9*100, 2) &amp; ", " &amp; ROUND('By site'!BA9*100, 2) &amp; "]"</f>
        <v>0.78
[0.73, 0.85]</v>
      </c>
      <c r="I31" t="str">
        <f>ROUND('By site'!BB9*100, 2) &amp; CHAR(10) &amp; "["  &amp; ROUND('By site'!BC9*100, 2) &amp; ", " &amp; ROUND('By site'!BD9*100, 2) &amp; "]"</f>
        <v>1.66
[0.87, 2.61]</v>
      </c>
      <c r="J31" t="str">
        <f>ROUND('By site'!BE9*100, 2) &amp; CHAR(10) &amp; "["  &amp; ROUND('By site'!BF9*100, 2) &amp; ", " &amp; ROUND('By site'!BG9*100, 2) &amp; "]"</f>
        <v>0
[0, 0]</v>
      </c>
      <c r="K31" t="str">
        <f>ROUND('By site'!BH9*100, 2) &amp; CHAR(10) &amp; "["  &amp; ROUND('By site'!BI9*100, 2) &amp; ", " &amp; ROUND('By site'!BJ9*100, 2) &amp; "]"</f>
        <v>2.44
[2.15, 2.79]</v>
      </c>
      <c r="N31" t="s">
        <v>97</v>
      </c>
      <c r="O31" t="str">
        <f>ROUND('By site'!BV9*100, 2) &amp; CHAR(10) &amp; "["  &amp; ROUND('By site'!BW9*100, 2) &amp; ", " &amp; ROUND('By site'!BX9*100, 2) &amp; "]"</f>
        <v>0.38
[0.31, 0.44]</v>
      </c>
      <c r="P31" t="str">
        <f>ROUND('By site'!BP9*100, 2) &amp; CHAR(10) &amp; "["  &amp; ROUND('By site'!BQ9*100, 2) &amp; ", " &amp; ROUND('By site'!BR9*100, 2) &amp; "]"</f>
        <v>1.81
[1.52, 2.22]</v>
      </c>
      <c r="Q31" t="str">
        <f>ROUND('By site'!BS9*100, 2) &amp; CHAR(10) &amp; "["  &amp; ROUND('By site'!BT9*100, 2) &amp; ", " &amp; ROUND('By site'!BU9*100, 2) &amp; "]"</f>
        <v>0
[0, 0]</v>
      </c>
      <c r="R31" t="str">
        <f>ROUND('By site'!BY9*100, 2) &amp; CHAR(10) &amp; "["  &amp; ROUND('By site'!BZ9*100, 2) &amp; ", " &amp; ROUND('By site'!CA9*100, 2) &amp; "]"</f>
        <v>2.19
[1.83, 2.66]</v>
      </c>
      <c r="T31" t="s">
        <v>97</v>
      </c>
      <c r="U31" s="3">
        <v>7.9676906664400641E-3</v>
      </c>
      <c r="V31" s="3">
        <v>5.6500000000000002E-2</v>
      </c>
      <c r="W31" s="18">
        <f t="shared" si="1"/>
        <v>-0.85897892625769801</v>
      </c>
    </row>
    <row r="32" spans="1:23" x14ac:dyDescent="0.2">
      <c r="A32" t="s">
        <v>96</v>
      </c>
      <c r="B32" t="str">
        <f>ROUND('By site'!U10, 0) &amp; " ["  &amp; ROUND('By site'!V10, 0) &amp; ", " &amp; ROUND('By site'!W10, 0) &amp; "]"</f>
        <v>9 [8, 11]</v>
      </c>
      <c r="C32" s="4">
        <v>245.23327540106999</v>
      </c>
      <c r="D32" t="str">
        <f>ROUND('By site'!BK10*100, 2) &amp; " ["  &amp; ROUND('By site'!BN10*100, 2) &amp; ", " &amp; ROUND('By site'!BO10*100, 2) &amp; "]"</f>
        <v>3.74 [3.21, 4.35]</v>
      </c>
      <c r="G32" t="s">
        <v>96</v>
      </c>
      <c r="H32" t="str">
        <f>ROUND('By site'!AY10*100, 2) &amp; CHAR(10) &amp; "["  &amp; ROUND('By site'!AZ10*100, 2) &amp; ", " &amp; ROUND('By site'!BA10*100, 2) &amp; "]"</f>
        <v>0.77
[0.71, 0.83]</v>
      </c>
      <c r="I32" t="str">
        <f>ROUND('By site'!BB10*100, 2) &amp; CHAR(10) &amp; "["  &amp; ROUND('By site'!BC10*100, 2) &amp; ", " &amp; ROUND('By site'!BD10*100, 2) &amp; "]"</f>
        <v>1.05
[0.36, 2.04]</v>
      </c>
      <c r="J32" t="str">
        <f>ROUND('By site'!BE10*100, 2) &amp; CHAR(10) &amp; "["  &amp; ROUND('By site'!BF10*100, 2) &amp; ", " &amp; ROUND('By site'!BG10*100, 2) &amp; "]"</f>
        <v>0
[0, 0]</v>
      </c>
      <c r="K32" t="str">
        <f>ROUND('By site'!BH10*100, 2) &amp; CHAR(10) &amp; "["  &amp; ROUND('By site'!BI10*100, 2) &amp; ", " &amp; ROUND('By site'!BJ10*100, 2) &amp; "]"</f>
        <v>1.82
[1.56, 2.19]</v>
      </c>
      <c r="N32" t="s">
        <v>96</v>
      </c>
      <c r="O32" t="str">
        <f>ROUND('By site'!BV10*100, 2) &amp; CHAR(10) &amp; "["  &amp; ROUND('By site'!BW10*100, 2) &amp; ", " &amp; ROUND('By site'!BX10*100, 2) &amp; "]"</f>
        <v>0.38
[0.31, 0.44]</v>
      </c>
      <c r="P32" t="str">
        <f>ROUND('By site'!BP10*100, 2) &amp; CHAR(10) &amp; "["  &amp; ROUND('By site'!BQ10*100, 2) &amp; ", " &amp; ROUND('By site'!BR10*100, 2) &amp; "]"</f>
        <v>1.55
[1.21, 2.02]</v>
      </c>
      <c r="Q32" t="str">
        <f>ROUND('By site'!BS10*100, 2) &amp; CHAR(10) &amp; "["  &amp; ROUND('By site'!BT10*100, 2) &amp; ", " &amp; ROUND('By site'!BU10*100, 2) &amp; "]"</f>
        <v>0
[0, 0]</v>
      </c>
      <c r="R32" t="str">
        <f>ROUND('By site'!BY10*100, 2) &amp; CHAR(10) &amp; "["  &amp; ROUND('By site'!BZ10*100, 2) &amp; ", " &amp; ROUND('By site'!CA10*100, 2) &amp; "]"</f>
        <v>1.92
[1.52, 2.46]</v>
      </c>
      <c r="T32" t="s">
        <v>96</v>
      </c>
      <c r="U32" s="3">
        <v>7.8249988704067984E-3</v>
      </c>
      <c r="V32" s="3">
        <v>5.6500000000000002E-2</v>
      </c>
      <c r="W32" s="18">
        <f t="shared" si="1"/>
        <v>-0.86150444477156118</v>
      </c>
    </row>
    <row r="33" spans="1:23" x14ac:dyDescent="0.2">
      <c r="A33" t="s">
        <v>98</v>
      </c>
      <c r="B33" t="str">
        <f>ROUND('By site'!U11, 0) &amp; " ["  &amp; ROUND('By site'!V11, 0) &amp; ", " &amp; ROUND('By site'!W11, 0) &amp; "]"</f>
        <v>5 [4, 6]</v>
      </c>
      <c r="C33" s="4">
        <v>198.01850534759399</v>
      </c>
      <c r="D33" t="str">
        <f>ROUND('By site'!BK11*100, 2) &amp; " ["  &amp; ROUND('By site'!BN11*100, 2) &amp; ", " &amp; ROUND('By site'!BO11*100, 2) &amp; "]"</f>
        <v>2.54 [2.21, 2.9]</v>
      </c>
      <c r="G33" t="s">
        <v>98</v>
      </c>
      <c r="H33" t="str">
        <f>ROUND('By site'!AY11*100, 2) &amp; CHAR(10) &amp; "["  &amp; ROUND('By site'!AZ11*100, 2) &amp; ", " &amp; ROUND('By site'!BA11*100, 2) &amp; "]"</f>
        <v>0.87
[0.81, 0.93]</v>
      </c>
      <c r="I33" t="str">
        <f>ROUND('By site'!BB11*100, 2) &amp; CHAR(10) &amp; "["  &amp; ROUND('By site'!BC11*100, 2) &amp; ", " &amp; ROUND('By site'!BD11*100, 2) &amp; "]"</f>
        <v>0.89
[0.44, 1.42]</v>
      </c>
      <c r="J33" t="str">
        <f>ROUND('By site'!BE11*100, 2) &amp; CHAR(10) &amp; "["  &amp; ROUND('By site'!BF11*100, 2) &amp; ", " &amp; ROUND('By site'!BG11*100, 2) &amp; "]"</f>
        <v>0
[0, 0]</v>
      </c>
      <c r="K33" t="str">
        <f>ROUND('By site'!BH11*100, 2) &amp; CHAR(10) &amp; "["  &amp; ROUND('By site'!BI11*100, 2) &amp; ", " &amp; ROUND('By site'!BJ11*100, 2) &amp; "]"</f>
        <v>1.76
[1.53, 2.04]</v>
      </c>
      <c r="N33" t="s">
        <v>98</v>
      </c>
      <c r="O33" t="str">
        <f>ROUND('By site'!BV11*100, 2) &amp; CHAR(10) &amp; "["  &amp; ROUND('By site'!BW11*100, 2) &amp; ", " &amp; ROUND('By site'!BX11*100, 2) &amp; "]"</f>
        <v>0.38
[0.31, 0.44]</v>
      </c>
      <c r="P33" t="str">
        <f>ROUND('By site'!BP11*100, 2) &amp; CHAR(10) &amp; "["  &amp; ROUND('By site'!BQ11*100, 2) &amp; ", " &amp; ROUND('By site'!BR11*100, 2) &amp; "]"</f>
        <v>0.4
[0.28, 0.54]</v>
      </c>
      <c r="Q33" t="str">
        <f>ROUND('By site'!BS11*100, 2) &amp; CHAR(10) &amp; "["  &amp; ROUND('By site'!BT11*100, 2) &amp; ", " &amp; ROUND('By site'!BU11*100, 2) &amp; "]"</f>
        <v>0
[0, 0]</v>
      </c>
      <c r="R33" t="str">
        <f>ROUND('By site'!BY11*100, 2) &amp; CHAR(10) &amp; "["  &amp; ROUND('By site'!BZ11*100, 2) &amp; ", " &amp; ROUND('By site'!CA11*100, 2) &amp; "]"</f>
        <v>0.78
[0.59, 0.98]</v>
      </c>
      <c r="T33" t="s">
        <v>98</v>
      </c>
      <c r="U33" s="3">
        <v>9.0829386240186254E-3</v>
      </c>
      <c r="V33" s="3">
        <v>5.6500000000000002E-2</v>
      </c>
      <c r="W33" s="18">
        <f t="shared" si="1"/>
        <v>-0.83924002435365264</v>
      </c>
    </row>
    <row r="34" spans="1:23" x14ac:dyDescent="0.2">
      <c r="A34" t="s">
        <v>99</v>
      </c>
      <c r="B34" t="str">
        <f>ROUND('By site'!U12, 0) &amp; " ["  &amp; ROUND('By site'!V12, 0) &amp; ", " &amp; ROUND('By site'!W12, 0) &amp; "]"</f>
        <v>21 [20, 24]</v>
      </c>
      <c r="C34" s="4">
        <v>1997.39449106952</v>
      </c>
      <c r="D34" t="str">
        <f>ROUND('By site'!BK12*100, 2) &amp; " ["  &amp; ROUND('By site'!BN12*100, 2) &amp; ", " &amp; ROUND('By site'!BO12*100, 2) &amp; "]"</f>
        <v>1.08 [0.98, 1.18]</v>
      </c>
      <c r="G34" t="s">
        <v>99</v>
      </c>
      <c r="H34" t="str">
        <f>ROUND('By site'!AY12*100, 2) &amp; CHAR(10) &amp; "["  &amp; ROUND('By site'!AZ12*100, 2) &amp; ", " &amp; ROUND('By site'!BA12*100, 2) &amp; "]"</f>
        <v>0.61
[0.58, 0.64]</v>
      </c>
      <c r="I34" t="str">
        <f>ROUND('By site'!BB12*100, 2) &amp; CHAR(10) &amp; "["  &amp; ROUND('By site'!BC12*100, 2) &amp; ", " &amp; ROUND('By site'!BD12*100, 2) &amp; "]"</f>
        <v>0.12
[0.04, 0.2]</v>
      </c>
      <c r="J34" t="str">
        <f>ROUND('By site'!BE12*100, 2) &amp; CHAR(10) &amp; "["  &amp; ROUND('By site'!BF12*100, 2) &amp; ", " &amp; ROUND('By site'!BG12*100, 2) &amp; "]"</f>
        <v>0
[0, 0]</v>
      </c>
      <c r="K34" t="str">
        <f>ROUND('By site'!BH12*100, 2) &amp; CHAR(10) &amp; "["  &amp; ROUND('By site'!BI12*100, 2) &amp; ", " &amp; ROUND('By site'!BJ12*100, 2) &amp; "]"</f>
        <v>0.73
[0.69, 0.77]</v>
      </c>
      <c r="N34" t="s">
        <v>99</v>
      </c>
      <c r="O34" t="str">
        <f>ROUND('By site'!BV12*100, 2) &amp; CHAR(10) &amp; "["  &amp; ROUND('By site'!BW12*100, 2) &amp; ", " &amp; ROUND('By site'!BX12*100, 2) &amp; "]"</f>
        <v>0.31
[0.26, 0.37]</v>
      </c>
      <c r="P34" t="str">
        <f>ROUND('By site'!BP12*100, 2) &amp; CHAR(10) &amp; "["  &amp; ROUND('By site'!BQ12*100, 2) &amp; ", " &amp; ROUND('By site'!BR12*100, 2) &amp; "]"</f>
        <v>0.04
[0.02, 0.05]</v>
      </c>
      <c r="Q34" t="str">
        <f>ROUND('By site'!BS12*100, 2) &amp; CHAR(10) &amp; "["  &amp; ROUND('By site'!BT12*100, 2) &amp; ", " &amp; ROUND('By site'!BU12*100, 2) &amp; "]"</f>
        <v>0
[0, 0]</v>
      </c>
      <c r="R34" t="str">
        <f>ROUND('By site'!BY12*100, 2) &amp; CHAR(10) &amp; "["  &amp; ROUND('By site'!BZ12*100, 2) &amp; ", " &amp; ROUND('By site'!CA12*100, 2) &amp; "]"</f>
        <v>0.35
[0.28, 0.42]</v>
      </c>
      <c r="T34" t="s">
        <v>99</v>
      </c>
      <c r="U34" s="3">
        <v>6.2683616753719798E-3</v>
      </c>
      <c r="V34" s="3">
        <v>5.4000000000000003E-3</v>
      </c>
      <c r="W34" s="18">
        <f t="shared" si="1"/>
        <v>0.16080771766147767</v>
      </c>
    </row>
    <row r="35" spans="1:23" x14ac:dyDescent="0.2">
      <c r="A35" t="s">
        <v>100</v>
      </c>
      <c r="B35" t="str">
        <f>ROUND('By site'!U13, 0) &amp; " ["  &amp; ROUND('By site'!V13, 0) &amp; ", " &amp; ROUND('By site'!W13, 0) &amp; "]"</f>
        <v>23 [21, 26]</v>
      </c>
      <c r="C35" s="4">
        <v>1972.72576203209</v>
      </c>
      <c r="D35" t="str">
        <f>ROUND('By site'!BK13*100, 2) &amp; " ["  &amp; ROUND('By site'!BN13*100, 2) &amp; ", " &amp; ROUND('By site'!BO13*100, 2) &amp; "]"</f>
        <v>1.17 [1.05, 1.33]</v>
      </c>
      <c r="G35" t="s">
        <v>100</v>
      </c>
      <c r="H35" t="str">
        <f>ROUND('By site'!AY13*100, 2) &amp; CHAR(10) &amp; "["  &amp; ROUND('By site'!AZ13*100, 2) &amp; ", " &amp; ROUND('By site'!BA13*100, 2) &amp; "]"</f>
        <v>0.62
[0.59, 0.66]</v>
      </c>
      <c r="I35" t="str">
        <f>ROUND('By site'!BB13*100, 2) &amp; CHAR(10) &amp; "["  &amp; ROUND('By site'!BC13*100, 2) &amp; ", " &amp; ROUND('By site'!BD13*100, 2) &amp; "]"</f>
        <v>0.12
[0.03, 0.22]</v>
      </c>
      <c r="J35" t="str">
        <f>ROUND('By site'!BE13*100, 2) &amp; CHAR(10) &amp; "["  &amp; ROUND('By site'!BF13*100, 2) &amp; ", " &amp; ROUND('By site'!BG13*100, 2) &amp; "]"</f>
        <v>0
[0, 0]</v>
      </c>
      <c r="K35" t="str">
        <f>ROUND('By site'!BH13*100, 2) &amp; CHAR(10) &amp; "["  &amp; ROUND('By site'!BI13*100, 2) &amp; ", " &amp; ROUND('By site'!BJ13*100, 2) &amp; "]"</f>
        <v>0.74
[0.7, 0.79]</v>
      </c>
      <c r="N35" t="s">
        <v>100</v>
      </c>
      <c r="O35" t="str">
        <f>ROUND('By site'!BV13*100, 2) &amp; CHAR(10) &amp; "["  &amp; ROUND('By site'!BW13*100, 2) &amp; ", " &amp; ROUND('By site'!BX13*100, 2) &amp; "]"</f>
        <v>0.31
[0.26, 0.37]</v>
      </c>
      <c r="P35" t="str">
        <f>ROUND('By site'!BP13*100, 2) &amp; CHAR(10) &amp; "["  &amp; ROUND('By site'!BQ13*100, 2) &amp; ", " &amp; ROUND('By site'!BR13*100, 2) &amp; "]"</f>
        <v>0.12
[0.08, 0.21]</v>
      </c>
      <c r="Q35" t="str">
        <f>ROUND('By site'!BS13*100, 2) &amp; CHAR(10) &amp; "["  &amp; ROUND('By site'!BT13*100, 2) &amp; ", " &amp; ROUND('By site'!BU13*100, 2) &amp; "]"</f>
        <v>0
[0, 0]</v>
      </c>
      <c r="R35" t="str">
        <f>ROUND('By site'!BY13*100, 2) &amp; CHAR(10) &amp; "["  &amp; ROUND('By site'!BZ13*100, 2) &amp; ", " &amp; ROUND('By site'!CA13*100, 2) &amp; "]"</f>
        <v>0.43
[0.34, 0.58]</v>
      </c>
      <c r="T35" t="s">
        <v>100</v>
      </c>
      <c r="U35" s="3">
        <v>6.4141471136245527E-3</v>
      </c>
      <c r="V35" s="3">
        <v>5.4000000000000003E-3</v>
      </c>
      <c r="W35" s="18">
        <f t="shared" si="1"/>
        <v>0.18780502104158378</v>
      </c>
    </row>
    <row r="36" spans="1:23" x14ac:dyDescent="0.2">
      <c r="A36" t="s">
        <v>101</v>
      </c>
      <c r="B36" t="str">
        <f>ROUND('By site'!U14, 0) &amp; " ["  &amp; ROUND('By site'!V14, 0) &amp; ", " &amp; ROUND('By site'!W14, 0) &amp; "]"</f>
        <v>76 [67, 86]</v>
      </c>
      <c r="C36" s="4">
        <v>10242.480039304801</v>
      </c>
      <c r="D36" t="str">
        <f>ROUND('By site'!BK14*100, 2) &amp; " ["  &amp; ROUND('By site'!BN14*100, 2) &amp; ", " &amp; ROUND('By site'!BO14*100, 2) &amp; "]"</f>
        <v>0.75 [0.65, 0.84]</v>
      </c>
      <c r="G36" t="s">
        <v>101</v>
      </c>
      <c r="H36" t="str">
        <f>ROUND('By site'!AY14*100, 2) &amp; CHAR(10) &amp; "["  &amp; ROUND('By site'!AZ14*100, 2) &amp; ", " &amp; ROUND('By site'!BA14*100, 2) &amp; "]"</f>
        <v>0.12
[0.11, 0.12]</v>
      </c>
      <c r="I36" t="str">
        <f>ROUND('By site'!BB14*100, 2) &amp; CHAR(10) &amp; "["  &amp; ROUND('By site'!BC14*100, 2) &amp; ", " &amp; ROUND('By site'!BD14*100, 2) &amp; "]"</f>
        <v>0.38
[0.3, 0.46]</v>
      </c>
      <c r="J36" t="str">
        <f>ROUND('By site'!BE14*100, 2) &amp; CHAR(10) &amp; "["  &amp; ROUND('By site'!BF14*100, 2) &amp; ", " &amp; ROUND('By site'!BG14*100, 2) &amp; "]"</f>
        <v>0
[0, 0]</v>
      </c>
      <c r="K36" t="str">
        <f>ROUND('By site'!BH14*100, 2) &amp; CHAR(10) &amp; "["  &amp; ROUND('By site'!BI14*100, 2) &amp; ", " &amp; ROUND('By site'!BJ14*100, 2) &amp; "]"</f>
        <v>0.49
[0.44, 0.55]</v>
      </c>
      <c r="N36" t="s">
        <v>101</v>
      </c>
      <c r="O36" t="str">
        <f>ROUND('By site'!BV14*100, 2) &amp; CHAR(10) &amp; "["  &amp; ROUND('By site'!BW14*100, 2) &amp; ", " &amp; ROUND('By site'!BX14*100, 2) &amp; "]"</f>
        <v>0.18
[0.15, 0.21]</v>
      </c>
      <c r="P36" t="str">
        <f>ROUND('By site'!BP14*100, 2) &amp; CHAR(10) &amp; "["  &amp; ROUND('By site'!BQ14*100, 2) &amp; ", " &amp; ROUND('By site'!BR14*100, 2) &amp; "]"</f>
        <v>0.08
[0.06, 0.1]</v>
      </c>
      <c r="Q36" t="str">
        <f>ROUND('By site'!BS14*100, 2) &amp; CHAR(10) &amp; "["  &amp; ROUND('By site'!BT14*100, 2) &amp; ", " &amp; ROUND('By site'!BU14*100, 2) &amp; "]"</f>
        <v>0
[0, 0]</v>
      </c>
      <c r="R36" t="str">
        <f>ROUND('By site'!BY14*100, 2) &amp; CHAR(10) &amp; "["  &amp; ROUND('By site'!BZ14*100, 2) &amp; ", " &amp; ROUND('By site'!CA14*100, 2) &amp; "]"</f>
        <v>0.25
[0.2, 0.31]</v>
      </c>
      <c r="T36" t="s">
        <v>101</v>
      </c>
      <c r="U36" s="3">
        <v>1.1678710577139601E-3</v>
      </c>
      <c r="V36" s="3">
        <v>3.0999999999999999E-3</v>
      </c>
      <c r="W36" s="18">
        <f t="shared" si="1"/>
        <v>-0.62326740073743225</v>
      </c>
    </row>
    <row r="37" spans="1:23" x14ac:dyDescent="0.2">
      <c r="A37" t="s">
        <v>89</v>
      </c>
      <c r="B37" t="str">
        <f>ROUND('By site'!U15, 0) &amp; " ["  &amp; ROUND('By site'!V15, 0) &amp; ", " &amp; ROUND('By site'!W15, 0) &amp; "]"</f>
        <v>20 [18, 22]</v>
      </c>
      <c r="C37" s="4">
        <v>350.73926764171102</v>
      </c>
      <c r="D37" t="str">
        <f>ROUND('By site'!BK15*100, 2) &amp; " ["  &amp; ROUND('By site'!BN15*100, 2) &amp; ", " &amp; ROUND('By site'!BO15*100, 2) &amp; "]"</f>
        <v>5.73 [5.26, 6.19]</v>
      </c>
      <c r="G37" t="s">
        <v>89</v>
      </c>
      <c r="H37" t="str">
        <f>ROUND('By site'!AY15*100, 2) &amp; CHAR(10) &amp; "["  &amp; ROUND('By site'!AZ15*100, 2) &amp; ", " &amp; ROUND('By site'!BA15*100, 2) &amp; "]"</f>
        <v>3.01
[2.87, 3.15]</v>
      </c>
      <c r="I37" t="str">
        <f>ROUND('By site'!BB15*100, 2) &amp; CHAR(10) &amp; "["  &amp; ROUND('By site'!BC15*100, 2) &amp; ", " &amp; ROUND('By site'!BD15*100, 2) &amp; "]"</f>
        <v>1.67
[1.07, 2.3]</v>
      </c>
      <c r="J37" t="str">
        <f>ROUND('By site'!BE15*100, 2) &amp; CHAR(10) &amp; "["  &amp; ROUND('By site'!BF15*100, 2) &amp; ", " &amp; ROUND('By site'!BG15*100, 2) &amp; "]"</f>
        <v>0
[0, 0]</v>
      </c>
      <c r="K37" t="str">
        <f>ROUND('By site'!BH15*100, 2) &amp; CHAR(10) &amp; "["  &amp; ROUND('By site'!BI15*100, 2) &amp; ", " &amp; ROUND('By site'!BJ15*100, 2) &amp; "]"</f>
        <v>4.68
[4.35, 5.01]</v>
      </c>
      <c r="N37" t="s">
        <v>89</v>
      </c>
      <c r="O37" t="str">
        <f>ROUND('By site'!BV15*100, 2) &amp; CHAR(10) &amp; "["  &amp; ROUND('By site'!BW15*100, 2) &amp; ", " &amp; ROUND('By site'!BX15*100, 2) &amp; "]"</f>
        <v>0.38
[0.31, 0.44]</v>
      </c>
      <c r="P37" t="str">
        <f>ROUND('By site'!BP15*100, 2) &amp; CHAR(10) &amp; "["  &amp; ROUND('By site'!BQ15*100, 2) &amp; ", " &amp; ROUND('By site'!BR15*100, 2) &amp; "]"</f>
        <v>0.68
[0.5, 0.92]</v>
      </c>
      <c r="Q37" t="str">
        <f>ROUND('By site'!BS15*100, 2) &amp; CHAR(10) &amp; "["  &amp; ROUND('By site'!BT15*100, 2) &amp; ", " &amp; ROUND('By site'!BU15*100, 2) &amp; "]"</f>
        <v>0
[0, 0]</v>
      </c>
      <c r="R37" t="str">
        <f>ROUND('By site'!BY15*100, 2) &amp; CHAR(10) &amp; "["  &amp; ROUND('By site'!BZ15*100, 2) &amp; ", " &amp; ROUND('By site'!CA15*100, 2) &amp; "]"</f>
        <v>1.05
[0.81, 1.36]</v>
      </c>
      <c r="T37" t="s">
        <v>89</v>
      </c>
      <c r="U37" s="3">
        <v>3.1712339950908879E-2</v>
      </c>
      <c r="V37" s="3">
        <v>1.89E-2</v>
      </c>
      <c r="W37" s="18">
        <f t="shared" si="1"/>
        <v>0.6779015847041735</v>
      </c>
    </row>
    <row r="38" spans="1:23" x14ac:dyDescent="0.2">
      <c r="A38" t="s">
        <v>102</v>
      </c>
      <c r="B38" t="str">
        <f>ROUND('By site'!U16, 0) &amp; " ["  &amp; ROUND('By site'!V16, 0) &amp; ", " &amp; ROUND('By site'!W16, 0) &amp; "]"</f>
        <v>26 [23, 29]</v>
      </c>
      <c r="C38" s="4">
        <v>636.66734652673802</v>
      </c>
      <c r="D38" t="str">
        <f>ROUND('By site'!BK16*100, 2) &amp; " ["  &amp; ROUND('By site'!BN16*100, 2) &amp; ", " &amp; ROUND('By site'!BO16*100, 2) &amp; "]"</f>
        <v>4.04 [3.63, 4.5]</v>
      </c>
      <c r="G38" t="s">
        <v>102</v>
      </c>
      <c r="H38" t="str">
        <f>ROUND('By site'!AY16*100, 2) &amp; CHAR(10) &amp; "["  &amp; ROUND('By site'!AZ16*100, 2) &amp; ", " &amp; ROUND('By site'!BA16*100, 2) &amp; "]"</f>
        <v>0.55
[0.5, 0.6]</v>
      </c>
      <c r="I38" t="str">
        <f>ROUND('By site'!BB16*100, 2) &amp; CHAR(10) &amp; "["  &amp; ROUND('By site'!BC16*100, 2) &amp; ", " &amp; ROUND('By site'!BD16*100, 2) &amp; "]"</f>
        <v>2.38
[1.94, 2.88]</v>
      </c>
      <c r="J38" t="str">
        <f>ROUND('By site'!BE16*100, 2) &amp; CHAR(10) &amp; "["  &amp; ROUND('By site'!BF16*100, 2) &amp; ", " &amp; ROUND('By site'!BG16*100, 2) &amp; "]"</f>
        <v>0.12
[0.07, 0.19]</v>
      </c>
      <c r="K38" t="str">
        <f>ROUND('By site'!BH16*100, 2) &amp; CHAR(10) &amp; "["  &amp; ROUND('By site'!BI16*100, 2) &amp; ", " &amp; ROUND('By site'!BJ16*100, 2) &amp; "]"</f>
        <v>3.05
[2.7, 3.43]</v>
      </c>
      <c r="N38" t="s">
        <v>102</v>
      </c>
      <c r="O38" t="str">
        <f>ROUND('By site'!BV16*100, 2) &amp; CHAR(10) &amp; "["  &amp; ROUND('By site'!BW16*100, 2) &amp; ", " &amp; ROUND('By site'!BX16*100, 2) &amp; "]"</f>
        <v>0.34
[0.28, 0.41]</v>
      </c>
      <c r="P38" t="str">
        <f>ROUND('By site'!BP16*100, 2) &amp; CHAR(10) &amp; "["  &amp; ROUND('By site'!BQ16*100, 2) &amp; ", " &amp; ROUND('By site'!BR16*100, 2) &amp; "]"</f>
        <v>0.4
[0.33, 0.48]</v>
      </c>
      <c r="Q38" t="str">
        <f>ROUND('By site'!BS16*100, 2) &amp; CHAR(10) &amp; "["  &amp; ROUND('By site'!BT16*100, 2) &amp; ", " &amp; ROUND('By site'!BU16*100, 2) &amp; "]"</f>
        <v>0.25
[0.2, 0.31]</v>
      </c>
      <c r="R38" t="str">
        <f>ROUND('By site'!BY16*100, 2) &amp; CHAR(10) &amp; "["  &amp; ROUND('By site'!BZ16*100, 2) &amp; ", " &amp; ROUND('By site'!CA16*100, 2) &amp; "]"</f>
        <v>1
[0.84, 1.16]</v>
      </c>
      <c r="T38" t="s">
        <v>102</v>
      </c>
      <c r="U38" s="3">
        <v>5.5602902216306581E-3</v>
      </c>
      <c r="V38" s="3">
        <v>6.0000000000000001E-3</v>
      </c>
      <c r="W38" s="18">
        <f t="shared" si="1"/>
        <v>-7.3284963061557004E-2</v>
      </c>
    </row>
    <row r="39" spans="1:23" x14ac:dyDescent="0.2">
      <c r="A39" t="s">
        <v>103</v>
      </c>
      <c r="B39" t="str">
        <f>ROUND('By site'!U17, 0) &amp; " ["  &amp; ROUND('By site'!V17, 0) &amp; ", " &amp; ROUND('By site'!W17, 0) &amp; "]"</f>
        <v>219 [207, 232]</v>
      </c>
      <c r="C39" s="4">
        <v>4755.8021327807501</v>
      </c>
      <c r="D39" t="str">
        <f>ROUND('By site'!BK17*100, 2) &amp; " ["  &amp; ROUND('By site'!BN17*100, 2) &amp; ", " &amp; ROUND('By site'!BO17*100, 2) &amp; "]"</f>
        <v>4.61 [4.36, 4.88]</v>
      </c>
      <c r="G39" t="s">
        <v>103</v>
      </c>
      <c r="H39" t="str">
        <f>ROUND('By site'!AY17*100, 2) &amp; CHAR(10) &amp; "["  &amp; ROUND('By site'!AZ17*100, 2) &amp; ", " &amp; ROUND('By site'!BA17*100, 2) &amp; "]"</f>
        <v>0.47
[0.44, 0.5]</v>
      </c>
      <c r="I39" t="str">
        <f>ROUND('By site'!BB17*100, 2) &amp; CHAR(10) &amp; "["  &amp; ROUND('By site'!BC17*100, 2) &amp; ", " &amp; ROUND('By site'!BD17*100, 2) &amp; "]"</f>
        <v>2.19
[1.89, 2.55]</v>
      </c>
      <c r="J39" t="str">
        <f>ROUND('By site'!BE17*100, 2) &amp; CHAR(10) &amp; "["  &amp; ROUND('By site'!BF17*100, 2) &amp; ", " &amp; ROUND('By site'!BG17*100, 2) &amp; "]"</f>
        <v>0
[0, 0]</v>
      </c>
      <c r="K39" t="str">
        <f>ROUND('By site'!BH17*100, 2) &amp; CHAR(10) &amp; "["  &amp; ROUND('By site'!BI17*100, 2) &amp; ", " &amp; ROUND('By site'!BJ17*100, 2) &amp; "]"</f>
        <v>2.66
[2.56, 2.78]</v>
      </c>
      <c r="N39" t="s">
        <v>103</v>
      </c>
      <c r="O39" t="str">
        <f>ROUND('By site'!BV17*100, 2) &amp; CHAR(10) &amp; "["  &amp; ROUND('By site'!BW17*100, 2) &amp; ", " &amp; ROUND('By site'!BX17*100, 2) &amp; "]"</f>
        <v>0.36
[0.3, 0.43]</v>
      </c>
      <c r="P39" t="str">
        <f>ROUND('By site'!BP17*100, 2) &amp; CHAR(10) &amp; "["  &amp; ROUND('By site'!BQ17*100, 2) &amp; ", " &amp; ROUND('By site'!BR17*100, 2) &amp; "]"</f>
        <v>1.59
[1.45, 1.76]</v>
      </c>
      <c r="Q39" t="str">
        <f>ROUND('By site'!BS17*100, 2) &amp; CHAR(10) &amp; "["  &amp; ROUND('By site'!BT17*100, 2) &amp; ", " &amp; ROUND('By site'!BU17*100, 2) &amp; "]"</f>
        <v>0
[0, 0]</v>
      </c>
      <c r="R39" t="str">
        <f>ROUND('By site'!BY17*100, 2) &amp; CHAR(10) &amp; "["  &amp; ROUND('By site'!BZ17*100, 2) &amp; ", " &amp; ROUND('By site'!CA17*100, 2) &amp; "]"</f>
        <v>1.95
[1.75, 2.19]</v>
      </c>
      <c r="T39" t="s">
        <v>103</v>
      </c>
      <c r="U39" s="3">
        <v>5.9919556222138145E-3</v>
      </c>
      <c r="V39" s="3">
        <v>6.0000000000000001E-3</v>
      </c>
      <c r="W39" s="18">
        <f t="shared" si="1"/>
        <v>-1.3407296310309336E-3</v>
      </c>
    </row>
    <row r="40" spans="1:23" x14ac:dyDescent="0.2">
      <c r="A40" t="s">
        <v>104</v>
      </c>
      <c r="B40" t="str">
        <f>ROUND('By site'!U18, 0) &amp; " ["  &amp; ROUND('By site'!V18, 0) &amp; ", " &amp; ROUND('By site'!W18, 0) &amp; "]"</f>
        <v>122 [115, 130]</v>
      </c>
      <c r="C40" s="4">
        <v>3613.2165038502699</v>
      </c>
      <c r="D40" t="str">
        <f>ROUND('By site'!BK18*100, 2) &amp; " ["  &amp; ROUND('By site'!BN18*100, 2) &amp; ", " &amp; ROUND('By site'!BO18*100, 2) &amp; "]"</f>
        <v>3.37 [3.17, 3.59]</v>
      </c>
      <c r="G40" t="s">
        <v>104</v>
      </c>
      <c r="H40" t="str">
        <f>ROUND('By site'!AY18*100, 2) &amp; CHAR(10) &amp; "["  &amp; ROUND('By site'!AZ18*100, 2) &amp; ", " &amp; ROUND('By site'!BA18*100, 2) &amp; "]"</f>
        <v>0.38
[0.35, 0.41]</v>
      </c>
      <c r="I40" t="str">
        <f>ROUND('By site'!BB18*100, 2) &amp; CHAR(10) &amp; "["  &amp; ROUND('By site'!BC18*100, 2) &amp; ", " &amp; ROUND('By site'!BD18*100, 2) &amp; "]"</f>
        <v>1.6
[1.27, 1.97]</v>
      </c>
      <c r="J40" t="str">
        <f>ROUND('By site'!BE18*100, 2) &amp; CHAR(10) &amp; "["  &amp; ROUND('By site'!BF18*100, 2) &amp; ", " &amp; ROUND('By site'!BG18*100, 2) &amp; "]"</f>
        <v>0
[0, 0]</v>
      </c>
      <c r="K40" t="str">
        <f>ROUND('By site'!BH18*100, 2) &amp; CHAR(10) &amp; "["  &amp; ROUND('By site'!BI18*100, 2) &amp; ", " &amp; ROUND('By site'!BJ18*100, 2) &amp; "]"</f>
        <v>1.98
[1.89, 2.08]</v>
      </c>
      <c r="N40" t="s">
        <v>104</v>
      </c>
      <c r="O40" t="str">
        <f>ROUND('By site'!BV18*100, 2) &amp; CHAR(10) &amp; "["  &amp; ROUND('By site'!BW18*100, 2) &amp; ", " &amp; ROUND('By site'!BX18*100, 2) &amp; "]"</f>
        <v>0.36
[0.3, 0.43]</v>
      </c>
      <c r="P40" t="str">
        <f>ROUND('By site'!BP18*100, 2) &amp; CHAR(10) &amp; "["  &amp; ROUND('By site'!BQ18*100, 2) &amp; ", " &amp; ROUND('By site'!BR18*100, 2) &amp; "]"</f>
        <v>1.03
[0.94, 1.14]</v>
      </c>
      <c r="Q40" t="str">
        <f>ROUND('By site'!BS18*100, 2) &amp; CHAR(10) &amp; "["  &amp; ROUND('By site'!BT18*100, 2) &amp; ", " &amp; ROUND('By site'!BU18*100, 2) &amp; "]"</f>
        <v>0
[0, 0]</v>
      </c>
      <c r="R40" t="str">
        <f>ROUND('By site'!BY18*100, 2) &amp; CHAR(10) &amp; "["  &amp; ROUND('By site'!BZ18*100, 2) &amp; ", " &amp; ROUND('By site'!CA18*100, 2) &amp; "]"</f>
        <v>1.39
[1.24, 1.57]</v>
      </c>
      <c r="T40" t="s">
        <v>104</v>
      </c>
      <c r="U40" s="3">
        <v>5.164364554168667E-3</v>
      </c>
      <c r="V40" s="3">
        <v>6.0000000000000001E-3</v>
      </c>
      <c r="W40" s="18">
        <f t="shared" si="1"/>
        <v>-0.13927257430522219</v>
      </c>
    </row>
    <row r="41" spans="1:23" x14ac:dyDescent="0.2">
      <c r="A41" t="s">
        <v>105</v>
      </c>
      <c r="B41" t="str">
        <f>ROUND('By site'!U19, 0) &amp; " ["  &amp; ROUND('By site'!V19, 0) &amp; ", " &amp; ROUND('By site'!W19, 0) &amp; "]"</f>
        <v>98 [89, 108]</v>
      </c>
      <c r="C41" s="4">
        <v>1142.58562965241</v>
      </c>
      <c r="D41" t="str">
        <f>ROUND('By site'!BK19*100, 2) &amp; " ["  &amp; ROUND('By site'!BN19*100, 2) &amp; ", " &amp; ROUND('By site'!BO19*100, 2) &amp; "]"</f>
        <v>8.55 [7.8, 9.44]</v>
      </c>
      <c r="G41" t="s">
        <v>105</v>
      </c>
      <c r="H41" t="str">
        <f>ROUND('By site'!AY19*100, 2) &amp; CHAR(10) &amp; "["  &amp; ROUND('By site'!AZ19*100, 2) &amp; ", " &amp; ROUND('By site'!BA19*100, 2) &amp; "]"</f>
        <v>0.78
[0.71, 0.87]</v>
      </c>
      <c r="I41" t="str">
        <f>ROUND('By site'!BB19*100, 2) &amp; CHAR(10) &amp; "["  &amp; ROUND('By site'!BC19*100, 2) &amp; ", " &amp; ROUND('By site'!BD19*100, 2) &amp; "]"</f>
        <v>4.05
[3.33, 4.84]</v>
      </c>
      <c r="J41" t="str">
        <f>ROUND('By site'!BE19*100, 2) &amp; CHAR(10) &amp; "["  &amp; ROUND('By site'!BF19*100, 2) &amp; ", " &amp; ROUND('By site'!BG19*100, 2) &amp; "]"</f>
        <v>0
[0, 0]</v>
      </c>
      <c r="K41" t="str">
        <f>ROUND('By site'!BH19*100, 2) &amp; CHAR(10) &amp; "["  &amp; ROUND('By site'!BI19*100, 2) &amp; ", " &amp; ROUND('By site'!BJ19*100, 2) &amp; "]"</f>
        <v>4.84
[4.53, 5.17]</v>
      </c>
      <c r="N41" t="s">
        <v>105</v>
      </c>
      <c r="O41" t="str">
        <f>ROUND('By site'!BV19*100, 2) &amp; CHAR(10) &amp; "["  &amp; ROUND('By site'!BW19*100, 2) &amp; ", " &amp; ROUND('By site'!BX19*100, 2) &amp; "]"</f>
        <v>0.36
[0.3, 0.43]</v>
      </c>
      <c r="P41" t="str">
        <f>ROUND('By site'!BP19*100, 2) &amp; CHAR(10) &amp; "["  &amp; ROUND('By site'!BQ19*100, 2) &amp; ", " &amp; ROUND('By site'!BR19*100, 2) &amp; "]"</f>
        <v>3.35
[2.78, 4.15]</v>
      </c>
      <c r="Q41" t="str">
        <f>ROUND('By site'!BS19*100, 2) &amp; CHAR(10) &amp; "["  &amp; ROUND('By site'!BT19*100, 2) &amp; ", " &amp; ROUND('By site'!BU19*100, 2) &amp; "]"</f>
        <v>0
[0, 0]</v>
      </c>
      <c r="R41" t="str">
        <f>ROUND('By site'!BY19*100, 2) &amp; CHAR(10) &amp; "["  &amp; ROUND('By site'!BZ19*100, 2) &amp; ", " &amp; ROUND('By site'!CA19*100, 2) &amp; "]"</f>
        <v>3.72
[3.08, 4.58]</v>
      </c>
      <c r="T41" t="s">
        <v>105</v>
      </c>
      <c r="U41" s="3">
        <v>8.4776122707838977E-3</v>
      </c>
      <c r="V41" s="3">
        <v>6.0000000000000001E-3</v>
      </c>
      <c r="W41" s="18">
        <f t="shared" si="1"/>
        <v>0.41293537846398293</v>
      </c>
    </row>
    <row r="42" spans="1:23" x14ac:dyDescent="0.2">
      <c r="A42" t="s">
        <v>134</v>
      </c>
      <c r="B42" t="str">
        <f>ROUND('By site'!U20, 0) &amp; " ["  &amp; ROUND('By site'!V20, 0) &amp; ", " &amp; ROUND('By site'!W20, 0) &amp; "]"</f>
        <v>38 [32, 44]</v>
      </c>
      <c r="C42" s="4">
        <v>5095.6287949732596</v>
      </c>
      <c r="D42" t="str">
        <f>ROUND('By site'!BK20*100, 2) &amp; " ["  &amp; ROUND('By site'!BN20*100, 2) &amp; ", " &amp; ROUND('By site'!BO20*100, 2) &amp; "]"</f>
        <v>0.74 [0.62, 0.86]</v>
      </c>
      <c r="G42" t="s">
        <v>134</v>
      </c>
      <c r="H42" t="str">
        <f>ROUND('By site'!AY20*100, 2) &amp; CHAR(10) &amp; "["  &amp; ROUND('By site'!AZ20*100, 2) &amp; ", " &amp; ROUND('By site'!BA20*100, 2) &amp; "]"</f>
        <v>0.02
[0.02, 0.03]</v>
      </c>
      <c r="I42" t="str">
        <f>ROUND('By site'!BB20*100, 2) &amp; CHAR(10) &amp; "["  &amp; ROUND('By site'!BC20*100, 2) &amp; ", " &amp; ROUND('By site'!BD20*100, 2) &amp; "]"</f>
        <v>0.38
[0.29, 0.46]</v>
      </c>
      <c r="J42" t="str">
        <f>ROUND('By site'!BE20*100, 2) &amp; CHAR(10) &amp; "["  &amp; ROUND('By site'!BF20*100, 2) &amp; ", " &amp; ROUND('By site'!BG20*100, 2) &amp; "]"</f>
        <v>0
[0, 0]</v>
      </c>
      <c r="K42" t="str">
        <f>ROUND('By site'!BH20*100, 2) &amp; CHAR(10) &amp; "["  &amp; ROUND('By site'!BI20*100, 2) &amp; ", " &amp; ROUND('By site'!BJ20*100, 2) &amp; "]"</f>
        <v>0.4
[0.33, 0.47]</v>
      </c>
      <c r="N42" t="s">
        <v>134</v>
      </c>
      <c r="O42" t="str">
        <f>ROUND('By site'!BV20*100, 2) &amp; CHAR(10) &amp; "["  &amp; ROUND('By site'!BW20*100, 2) &amp; ", " &amp; ROUND('By site'!BX20*100, 2) &amp; "]"</f>
        <v>0.18
[0.15, 0.21]</v>
      </c>
      <c r="P42" t="str">
        <f>ROUND('By site'!BP20*100, 2) &amp; CHAR(10) &amp; "["  &amp; ROUND('By site'!BQ20*100, 2) &amp; ", " &amp; ROUND('By site'!BR20*100, 2) &amp; "]"</f>
        <v>0.16
[0.11, 0.22]</v>
      </c>
      <c r="Q42" t="str">
        <f>ROUND('By site'!BS20*100, 2) &amp; CHAR(10) &amp; "["  &amp; ROUND('By site'!BT20*100, 2) &amp; ", " &amp; ROUND('By site'!BU20*100, 2) &amp; "]"</f>
        <v>0
[0, 0]</v>
      </c>
      <c r="R42" t="str">
        <f>ROUND('By site'!BY20*100, 2) &amp; CHAR(10) &amp; "["  &amp; ROUND('By site'!BZ20*100, 2) &amp; ", " &amp; ROUND('By site'!CA20*100, 2) &amp; "]"</f>
        <v>0.34
[0.26, 0.43]</v>
      </c>
      <c r="T42" t="s">
        <v>134</v>
      </c>
      <c r="U42" s="3">
        <v>2.1797687394629409E-4</v>
      </c>
      <c r="V42" s="3">
        <v>3.0999999999999999E-3</v>
      </c>
      <c r="W42" s="18">
        <f t="shared" si="1"/>
        <v>-0.92968487937216315</v>
      </c>
    </row>
    <row r="43" spans="1:23" x14ac:dyDescent="0.2">
      <c r="A43" t="s">
        <v>207</v>
      </c>
      <c r="G43" t="s">
        <v>207</v>
      </c>
      <c r="N43" t="s">
        <v>207</v>
      </c>
    </row>
    <row r="44" spans="1:23" x14ac:dyDescent="0.2">
      <c r="A44" t="s">
        <v>208</v>
      </c>
      <c r="B44" t="str">
        <f>ROUND('By site'!U27, 0) &amp; " ["  &amp; ROUND('By site'!V27, 0) &amp; ", " &amp; ROUND('By site'!W27, 0) &amp; "]"</f>
        <v>713 [672, 756]</v>
      </c>
      <c r="D44" t="str">
        <f>ROUND('By site'!BF27*100, 2) &amp; " ["  &amp; ROUND('By site'!BG27*100, 2) &amp; ", " &amp; ROUND('By site'!BH27*100, 2) &amp; "]"</f>
        <v>2.97 [2.8, 3.15]</v>
      </c>
    </row>
    <row r="46" spans="1:23" x14ac:dyDescent="0.2">
      <c r="A46" t="s">
        <v>229</v>
      </c>
      <c r="B46" t="s">
        <v>234</v>
      </c>
      <c r="C46" t="s">
        <v>235</v>
      </c>
      <c r="D46" t="s">
        <v>236</v>
      </c>
      <c r="E46" t="s">
        <v>237</v>
      </c>
      <c r="F46" t="s">
        <v>238</v>
      </c>
      <c r="G46" t="s">
        <v>240</v>
      </c>
      <c r="I46" s="22" t="s">
        <v>233</v>
      </c>
      <c r="J46" t="s">
        <v>241</v>
      </c>
      <c r="K46" t="s">
        <v>243</v>
      </c>
      <c r="L46" t="s">
        <v>244</v>
      </c>
      <c r="O46" s="22" t="s">
        <v>242</v>
      </c>
      <c r="P46" t="str" cm="1">
        <f t="array" ref="P46:P65">'By site'!Y1:Y20</f>
        <v>% SDev of MC iterations</v>
      </c>
      <c r="Q46" t="str" cm="1">
        <f t="array" ref="Q46:Q65">'By site'!AU1:AU20</f>
        <v>SErr of sample mean</v>
      </c>
      <c r="T46" t="s">
        <v>256</v>
      </c>
      <c r="U46" t="s">
        <v>255</v>
      </c>
    </row>
    <row r="47" spans="1:23" x14ac:dyDescent="0.2">
      <c r="A47" t="s">
        <v>107</v>
      </c>
      <c r="B47" t="str">
        <f>ROUND('By site'!CU2, 1) &amp; CHAR(10) &amp; "["  &amp; ROUND('By site'!CV2, 1) &amp; ", " &amp; ROUND('By site'!CW2, 1) &amp; "]"</f>
        <v>18.6
[15.1, 27.8]</v>
      </c>
      <c r="C47" t="str">
        <f>ROUND('By site'!CX2, 1) &amp; CHAR(10) &amp; "["  &amp; ROUND('By site'!CY2, 1) &amp; ", " &amp; ROUND('By site'!CZ2, 1) &amp; "]"</f>
        <v>6.9
[5.8, 8.3]</v>
      </c>
      <c r="D47" t="str">
        <f>ROUND('By site'!DA2, 1) &amp; CHAR(10) &amp; "["  &amp; ROUND('By site'!DB2, 1) &amp; ", " &amp; ROUND('By site'!DC2, 1) &amp; "]"</f>
        <v>3.8
[3, 5.2]</v>
      </c>
      <c r="E47" t="str">
        <f>ROUND('By site'!DD2, 1) &amp; CHAR(10) &amp; "["  &amp; ROUND('By site'!DE2, 1) &amp; ", " &amp; ROUND('By site'!DF2, 1) &amp; "]"</f>
        <v>36.4
[30.9, 43.9]</v>
      </c>
      <c r="F47" t="str">
        <f>ROUND('By site'!P2, 1) &amp; CHAR(10) &amp; "["  &amp; ROUND('By site'!Q2, 1) &amp; ", " &amp; ROUND('By site'!R2, 1) &amp; "]"</f>
        <v>65.8
[58.3, 77.3]</v>
      </c>
      <c r="G47" s="9">
        <f>'By site'!CU2/'By site'!P2</f>
        <v>0.28324882651967392</v>
      </c>
      <c r="I47" t="s">
        <v>107</v>
      </c>
      <c r="J47" s="23">
        <f>'By site'!CR2/'By site'!U2</f>
        <v>0.81626058012969382</v>
      </c>
      <c r="K47" s="23">
        <f>'By site'!EB2/'By site'!K2</f>
        <v>0.79558881855416608</v>
      </c>
      <c r="L47" s="23">
        <f>'By site'!EE2/('By site'!P2 + 'By site'!S2 + 'By site'!T2)</f>
        <v>0.84564674564162978</v>
      </c>
      <c r="O47" t="s">
        <v>107</v>
      </c>
      <c r="P47" s="9">
        <v>6.2551355106405707E-2</v>
      </c>
      <c r="Q47" s="2">
        <v>1.9780475286624599E-3</v>
      </c>
      <c r="S47" t="s">
        <v>107</v>
      </c>
      <c r="T47" s="2">
        <f>'By site'!H2/'By site'!U2</f>
        <v>2.5193907727348312E-2</v>
      </c>
      <c r="U47" s="2">
        <f>'By site'!S2/'By site'!U2</f>
        <v>2.4323446935334069E-2</v>
      </c>
    </row>
    <row r="48" spans="1:23" x14ac:dyDescent="0.2">
      <c r="A48" t="s">
        <v>90</v>
      </c>
      <c r="B48" t="str">
        <f>ROUND('By site'!CU3, 1) &amp; CHAR(10) &amp; "["  &amp; ROUND('By site'!CV3, 1) &amp; ", " &amp; ROUND('By site'!CW3, 1) &amp; "]"</f>
        <v>102.4
[96.7, 109]</v>
      </c>
      <c r="C48" t="str">
        <f>ROUND('By site'!CX3, 1) &amp; CHAR(10) &amp; "["  &amp; ROUND('By site'!CY3, 1) &amp; ", " &amp; ROUND('By site'!CZ3, 1) &amp; "]"</f>
        <v>80.6
[74, 87.9]</v>
      </c>
      <c r="D48" t="str">
        <f>ROUND('By site'!DA3, 1) &amp; CHAR(10) &amp; "["  &amp; ROUND('By site'!DB3, 1) &amp; ", " &amp; ROUND('By site'!DC3, 1) &amp; "]"</f>
        <v>29.6
[21.4, 40]</v>
      </c>
      <c r="E48" t="str">
        <f>ROUND('By site'!DD3, 1) &amp; CHAR(10) &amp; "["  &amp; ROUND('By site'!DE3, 1) &amp; ", " &amp; ROUND('By site'!DF3, 1) &amp; "]"</f>
        <v>0
[0, 0]</v>
      </c>
      <c r="F48" t="str">
        <f>ROUND('By site'!P3, 1) &amp; CHAR(10) &amp; "["  &amp; ROUND('By site'!Q3, 1) &amp; ", " &amp; ROUND('By site'!R3, 1) &amp; "]"</f>
        <v>212.6
[199.6, 226.6]</v>
      </c>
      <c r="G48" s="9">
        <f>'By site'!CU3/'By site'!P3</f>
        <v>0.48152607491469562</v>
      </c>
      <c r="I48" t="s">
        <v>90</v>
      </c>
      <c r="J48" s="23">
        <f>'By site'!CR3/'By site'!U3</f>
        <v>0.80739090119489976</v>
      </c>
      <c r="K48" s="23">
        <f>'By site'!EB3/'By site'!K3</f>
        <v>0.77604712313285884</v>
      </c>
      <c r="L48" s="23">
        <f>'By site'!EE3/('By site'!P3 + 'By site'!S3 + 'By site'!T3)</f>
        <v>0.8473983791786236</v>
      </c>
      <c r="O48" t="s">
        <v>90</v>
      </c>
      <c r="P48" s="9">
        <v>3.26624826500772E-2</v>
      </c>
      <c r="Q48" s="2">
        <v>1.0328783920997601E-3</v>
      </c>
      <c r="S48" t="s">
        <v>90</v>
      </c>
      <c r="T48" s="2">
        <f>'By site'!H3/'By site'!U3</f>
        <v>0</v>
      </c>
      <c r="U48" s="2">
        <f>'By site'!S3/'By site'!U3</f>
        <v>0</v>
      </c>
    </row>
    <row r="49" spans="1:21" x14ac:dyDescent="0.2">
      <c r="A49" t="s">
        <v>91</v>
      </c>
      <c r="B49" t="str">
        <f>ROUND('By site'!CU4, 1) &amp; CHAR(10) &amp; "["  &amp; ROUND('By site'!CV4, 1) &amp; ", " &amp; ROUND('By site'!CW4, 1) &amp; "]"</f>
        <v>17.7
[13.5, 23]</v>
      </c>
      <c r="C49" t="str">
        <f>ROUND('By site'!CX4, 1) &amp; CHAR(10) &amp; "["  &amp; ROUND('By site'!CY4, 1) &amp; ", " &amp; ROUND('By site'!CZ4, 1) &amp; "]"</f>
        <v>33.4
[29.3, 37.5]</v>
      </c>
      <c r="D49" t="str">
        <f>ROUND('By site'!DA4, 1) &amp; CHAR(10) &amp; "["  &amp; ROUND('By site'!DB4, 1) &amp; ", " &amp; ROUND('By site'!DC4, 1) &amp; "]"</f>
        <v>9
[6.4, 11.9]</v>
      </c>
      <c r="E49" t="str">
        <f>ROUND('By site'!DD4, 1) &amp; CHAR(10) &amp; "["  &amp; ROUND('By site'!DE4, 1) &amp; ", " &amp; ROUND('By site'!DF4, 1) &amp; "]"</f>
        <v>0.1
[0, 0.3]</v>
      </c>
      <c r="F49" t="str">
        <f>ROUND('By site'!P4, 1) &amp; CHAR(10) &amp; "["  &amp; ROUND('By site'!Q4, 1) &amp; ", " &amp; ROUND('By site'!R4, 1) &amp; "]"</f>
        <v>60.2
[53.5, 67.7]</v>
      </c>
      <c r="G49" s="9">
        <f>'By site'!CU4/'By site'!P4</f>
        <v>0.29376039794186648</v>
      </c>
      <c r="I49" t="s">
        <v>91</v>
      </c>
      <c r="J49" s="23">
        <f>'By site'!CR4/'By site'!U4</f>
        <v>0.71396233524496622</v>
      </c>
      <c r="K49" s="23">
        <f>'By site'!EB4/'By site'!K4</f>
        <v>0.61846743484696831</v>
      </c>
      <c r="L49" s="23">
        <f>'By site'!EE4/('By site'!P4 + 'By site'!S4 + 'By site'!T4)</f>
        <v>0.78610435051894756</v>
      </c>
      <c r="O49" t="s">
        <v>91</v>
      </c>
      <c r="P49" s="9">
        <v>5.2643636152650497E-2</v>
      </c>
      <c r="Q49" s="2">
        <v>1.6647379455555901E-3</v>
      </c>
      <c r="S49" t="s">
        <v>91</v>
      </c>
      <c r="T49" s="2">
        <f>'By site'!H4/'By site'!U4</f>
        <v>0</v>
      </c>
      <c r="U49" s="2">
        <f>'By site'!S4/'By site'!U4</f>
        <v>0</v>
      </c>
    </row>
    <row r="50" spans="1:21" x14ac:dyDescent="0.2">
      <c r="A50" t="s">
        <v>93</v>
      </c>
      <c r="B50" t="str">
        <f>ROUND('By site'!CU5, 1) &amp; CHAR(10) &amp; "["  &amp; ROUND('By site'!CV5, 1) &amp; ", " &amp; ROUND('By site'!CW5, 1) &amp; "]"</f>
        <v>12.9
[11.5, 14.7]</v>
      </c>
      <c r="C50" t="str">
        <f>ROUND('By site'!CX5, 1) &amp; CHAR(10) &amp; "["  &amp; ROUND('By site'!CY5, 1) &amp; ", " &amp; ROUND('By site'!CZ5, 1) &amp; "]"</f>
        <v>25.2
[22.2, 28.5]</v>
      </c>
      <c r="D50" t="str">
        <f>ROUND('By site'!DA5, 1) &amp; CHAR(10) &amp; "["  &amp; ROUND('By site'!DB5, 1) &amp; ", " &amp; ROUND('By site'!DC5, 1) &amp; "]"</f>
        <v>7
[5.5, 8.7]</v>
      </c>
      <c r="E50" t="str">
        <f>ROUND('By site'!DD5, 1) &amp; CHAR(10) &amp; "["  &amp; ROUND('By site'!DE5, 1) &amp; ", " &amp; ROUND('By site'!DF5, 1) &amp; "]"</f>
        <v>0
[0, 0]</v>
      </c>
      <c r="F50" t="str">
        <f>ROUND('By site'!P5, 1) &amp; CHAR(10) &amp; "["  &amp; ROUND('By site'!Q5, 1) &amp; ", " &amp; ROUND('By site'!R5, 1) &amp; "]"</f>
        <v>45.1
[41.5, 49.2]</v>
      </c>
      <c r="G50" s="9">
        <f>'By site'!CU5/'By site'!P5</f>
        <v>0.28623052301615592</v>
      </c>
      <c r="I50" t="s">
        <v>93</v>
      </c>
      <c r="J50" s="23">
        <f>'By site'!CR5/'By site'!U5</f>
        <v>0.6340773892961834</v>
      </c>
      <c r="K50" s="23">
        <f>'By site'!EB5/'By site'!K5</f>
        <v>0.58023890389699706</v>
      </c>
      <c r="L50" s="23">
        <f>'By site'!EE5/('By site'!P5 + 'By site'!S5 + 'By site'!T5)</f>
        <v>0.68809017447920395</v>
      </c>
      <c r="O50" t="s">
        <v>93</v>
      </c>
      <c r="P50" s="9">
        <v>4.6598348594653498E-2</v>
      </c>
      <c r="Q50" s="2">
        <v>1.4735691676161201E-3</v>
      </c>
      <c r="S50" t="s">
        <v>93</v>
      </c>
      <c r="T50" s="2">
        <f>'By site'!H5/'By site'!U5</f>
        <v>0</v>
      </c>
      <c r="U50" s="2">
        <f>'By site'!S5/'By site'!U5</f>
        <v>0</v>
      </c>
    </row>
    <row r="51" spans="1:21" x14ac:dyDescent="0.2">
      <c r="A51" t="s">
        <v>92</v>
      </c>
      <c r="B51" t="str">
        <f>ROUND('By site'!CU6, 1) &amp; CHAR(10) &amp; "["  &amp; ROUND('By site'!CV6, 1) &amp; ", " &amp; ROUND('By site'!CW6, 1) &amp; "]"</f>
        <v>6.9
[6, 7.7]</v>
      </c>
      <c r="C51" t="str">
        <f>ROUND('By site'!CX6, 1) &amp; CHAR(10) &amp; "["  &amp; ROUND('By site'!CY6, 1) &amp; ", " &amp; ROUND('By site'!CZ6, 1) &amp; "]"</f>
        <v>27.3
[23.4, 31.5]</v>
      </c>
      <c r="D51" t="str">
        <f>ROUND('By site'!DA6, 1) &amp; CHAR(10) &amp; "["  &amp; ROUND('By site'!DB6, 1) &amp; ", " &amp; ROUND('By site'!DC6, 1) &amp; "]"</f>
        <v>9.9
[7.4, 12.8]</v>
      </c>
      <c r="E51" t="str">
        <f>ROUND('By site'!DD6, 1) &amp; CHAR(10) &amp; "["  &amp; ROUND('By site'!DE6, 1) &amp; ", " &amp; ROUND('By site'!DF6, 1) &amp; "]"</f>
        <v>0
[0, 0]</v>
      </c>
      <c r="F51" t="str">
        <f>ROUND('By site'!P6, 1) &amp; CHAR(10) &amp; "["  &amp; ROUND('By site'!Q6, 1) &amp; ", " &amp; ROUND('By site'!R6, 1) &amp; "]"</f>
        <v>44
[39.1, 49.2]</v>
      </c>
      <c r="G51" s="9">
        <f>'By site'!CU6/'By site'!P6</f>
        <v>0.15585538603325097</v>
      </c>
      <c r="I51" t="s">
        <v>92</v>
      </c>
      <c r="J51" s="23">
        <f>'By site'!CR6/'By site'!U6</f>
        <v>0.6099282218139922</v>
      </c>
      <c r="K51" s="23">
        <f>'By site'!EB6/'By site'!K6</f>
        <v>0.54880352461031134</v>
      </c>
      <c r="L51" s="23">
        <f>'By site'!EE6/('By site'!P6 + 'By site'!S6 + 'By site'!T6)</f>
        <v>0.67274967182778345</v>
      </c>
      <c r="O51" t="s">
        <v>92</v>
      </c>
      <c r="P51" s="9">
        <v>5.6701480279396699E-2</v>
      </c>
      <c r="Q51" s="2">
        <v>1.7930582438601399E-3</v>
      </c>
      <c r="S51" t="s">
        <v>92</v>
      </c>
      <c r="T51" s="2">
        <f>'By site'!H6/'By site'!U6</f>
        <v>0</v>
      </c>
      <c r="U51" s="2">
        <f>'By site'!S6/'By site'!U6</f>
        <v>0</v>
      </c>
    </row>
    <row r="52" spans="1:21" x14ac:dyDescent="0.2">
      <c r="A52" t="s">
        <v>94</v>
      </c>
      <c r="B52" t="str">
        <f>ROUND('By site'!CU7, 1) &amp; CHAR(10) &amp; "["  &amp; ROUND('By site'!CV7, 1) &amp; ", " &amp; ROUND('By site'!CW7, 1) &amp; "]"</f>
        <v>1.9
[1.3, 2.5]</v>
      </c>
      <c r="C52" t="str">
        <f>ROUND('By site'!CX7, 1) &amp; CHAR(10) &amp; "["  &amp; ROUND('By site'!CY7, 1) &amp; ", " &amp; ROUND('By site'!CZ7, 1) &amp; "]"</f>
        <v>0
[0, 0]</v>
      </c>
      <c r="D52" t="str">
        <f>ROUND('By site'!DA7, 1) &amp; CHAR(10) &amp; "["  &amp; ROUND('By site'!DB7, 1) &amp; ", " &amp; ROUND('By site'!DC7, 1) &amp; "]"</f>
        <v>0.8
[0.5, 1.1]</v>
      </c>
      <c r="E52" t="str">
        <f>ROUND('By site'!DD7, 1) &amp; CHAR(10) &amp; "["  &amp; ROUND('By site'!DE7, 1) &amp; ", " &amp; ROUND('By site'!DF7, 1) &amp; "]"</f>
        <v>1.8
[1, 3.1]</v>
      </c>
      <c r="F52" t="str">
        <f>ROUND('By site'!P7, 1) &amp; CHAR(10) &amp; "["  &amp; ROUND('By site'!Q7, 1) &amp; ", " &amp; ROUND('By site'!R7, 1) &amp; "]"</f>
        <v>4.8
[3.7, 6.2]</v>
      </c>
      <c r="G52" s="9">
        <f>'By site'!CU7/'By site'!P7</f>
        <v>0.39399028366537997</v>
      </c>
      <c r="I52" t="s">
        <v>94</v>
      </c>
      <c r="J52" s="23">
        <f>'By site'!CR7/'By site'!U7</f>
        <v>0.65685764700041716</v>
      </c>
      <c r="K52" s="23">
        <f>'By site'!EB7/'By site'!K7</f>
        <v>0.48502594001364796</v>
      </c>
      <c r="L52" s="23">
        <f>'By site'!EE7/('By site'!P7 + 'By site'!S7 + 'By site'!T7)</f>
        <v>0.80043059044715315</v>
      </c>
      <c r="O52" t="s">
        <v>94</v>
      </c>
      <c r="P52" s="9">
        <v>9.8709591306135394E-2</v>
      </c>
      <c r="Q52" s="2">
        <v>3.1214713543174298E-3</v>
      </c>
      <c r="S52" t="s">
        <v>94</v>
      </c>
      <c r="T52" s="2">
        <f>'By site'!H7/'By site'!U7</f>
        <v>0</v>
      </c>
      <c r="U52" s="2">
        <f>'By site'!S7/'By site'!U7</f>
        <v>0</v>
      </c>
    </row>
    <row r="53" spans="1:21" x14ac:dyDescent="0.2">
      <c r="A53" t="s">
        <v>95</v>
      </c>
      <c r="B53" t="str">
        <f>ROUND('By site'!CU8, 1) &amp; CHAR(10) &amp; "["  &amp; ROUND('By site'!CV8, 1) &amp; ", " &amp; ROUND('By site'!CW8, 1) &amp; "]"</f>
        <v>2.4
[1.8, 3.3]</v>
      </c>
      <c r="C53" t="str">
        <f>ROUND('By site'!CX8, 1) &amp; CHAR(10) &amp; "["  &amp; ROUND('By site'!CY8, 1) &amp; ", " &amp; ROUND('By site'!CZ8, 1) &amp; "]"</f>
        <v>0
[0, 0]</v>
      </c>
      <c r="D53" t="str">
        <f>ROUND('By site'!DA8, 1) &amp; CHAR(10) &amp; "["  &amp; ROUND('By site'!DB8, 1) &amp; ", " &amp; ROUND('By site'!DC8, 1) &amp; "]"</f>
        <v>0.1
[0.1, 0.4]</v>
      </c>
      <c r="E53" t="str">
        <f>ROUND('By site'!DD8, 1) &amp; CHAR(10) &amp; "["  &amp; ROUND('By site'!DE8, 1) &amp; ", " &amp; ROUND('By site'!DF8, 1) &amp; "]"</f>
        <v>4.3
[3.3, 5.6]</v>
      </c>
      <c r="F53" t="str">
        <f>ROUND('By site'!P8, 1) &amp; CHAR(10) &amp; "["  &amp; ROUND('By site'!Q8, 1) &amp; ", " &amp; ROUND('By site'!R8, 1) &amp; "]"</f>
        <v>7.4
[6.2, 9]</v>
      </c>
      <c r="G53" s="9">
        <f>'By site'!CU8/'By site'!P8</f>
        <v>0.32277040549429747</v>
      </c>
      <c r="I53" t="s">
        <v>95</v>
      </c>
      <c r="J53" s="23">
        <f>'By site'!CR8/'By site'!U8</f>
        <v>0.75291462984971202</v>
      </c>
      <c r="K53" s="23">
        <f>'By site'!EB8/'By site'!K8</f>
        <v>0.62697889419698061</v>
      </c>
      <c r="L53" s="23">
        <f>'By site'!EE8/('By site'!P8 + 'By site'!S8 + 'By site'!T8)</f>
        <v>0.85694754017897268</v>
      </c>
      <c r="O53" t="s">
        <v>95</v>
      </c>
      <c r="P53" s="9">
        <v>0.119245726869894</v>
      </c>
      <c r="Q53" s="2">
        <v>3.7708809815120599E-3</v>
      </c>
      <c r="S53" t="s">
        <v>95</v>
      </c>
      <c r="T53" s="2">
        <f>'By site'!H8/'By site'!U8</f>
        <v>0</v>
      </c>
      <c r="U53" s="2">
        <f>'By site'!S8/'By site'!U8</f>
        <v>0</v>
      </c>
    </row>
    <row r="54" spans="1:21" x14ac:dyDescent="0.2">
      <c r="A54" t="s">
        <v>97</v>
      </c>
      <c r="B54" t="str">
        <f>ROUND('By site'!CU9, 1) &amp; CHAR(10) &amp; "["  &amp; ROUND('By site'!CV9, 1) &amp; ", " &amp; ROUND('By site'!CW9, 1) &amp; "]"</f>
        <v>3.6
[3, 4.3]</v>
      </c>
      <c r="C54" t="str">
        <f>ROUND('By site'!CX9, 1) &amp; CHAR(10) &amp; "["  &amp; ROUND('By site'!CY9, 1) &amp; ", " &amp; ROUND('By site'!CZ9, 1) &amp; "]"</f>
        <v>0.5
[0.3, 1.3]</v>
      </c>
      <c r="D54" t="str">
        <f>ROUND('By site'!DA9, 1) &amp; CHAR(10) &amp; "["  &amp; ROUND('By site'!DB9, 1) &amp; ", " &amp; ROUND('By site'!DC9, 1) &amp; "]"</f>
        <v>0
[0, 0.1]</v>
      </c>
      <c r="E54" t="str">
        <f>ROUND('By site'!DD9, 1) &amp; CHAR(10) &amp; "["  &amp; ROUND('By site'!DE9, 1) &amp; ", " &amp; ROUND('By site'!DF9, 1) &amp; "]"</f>
        <v>0.1
[0, 0.2]</v>
      </c>
      <c r="F54" t="str">
        <f>ROUND('By site'!P9, 1) &amp; CHAR(10) &amp; "["  &amp; ROUND('By site'!Q9, 1) &amp; ", " &amp; ROUND('By site'!R9, 1) &amp; "]"</f>
        <v>4.2
[3.5, 5.1]</v>
      </c>
      <c r="G54" s="9">
        <f>'By site'!CU9/'By site'!P9</f>
        <v>0.85240838628375815</v>
      </c>
      <c r="I54" t="s">
        <v>97</v>
      </c>
      <c r="J54" s="23">
        <f>'By site'!CR9/'By site'!U9</f>
        <v>0.74955263281040285</v>
      </c>
      <c r="K54" s="23">
        <f>'By site'!EB9/'By site'!K9</f>
        <v>0.68035975198257426</v>
      </c>
      <c r="L54" s="23">
        <f>'By site'!EE9/('By site'!P9 + 'By site'!S9 + 'By site'!T9)</f>
        <v>0.82796651763090423</v>
      </c>
      <c r="O54" t="s">
        <v>97</v>
      </c>
      <c r="P54" s="9">
        <v>0.14962665851669699</v>
      </c>
      <c r="Q54" s="2">
        <v>4.7316103959299301E-3</v>
      </c>
      <c r="S54" t="s">
        <v>97</v>
      </c>
      <c r="T54" s="2">
        <f>'By site'!H9/'By site'!U9</f>
        <v>0</v>
      </c>
      <c r="U54" s="2">
        <f>'By site'!S9/'By site'!U9</f>
        <v>0</v>
      </c>
    </row>
    <row r="55" spans="1:21" x14ac:dyDescent="0.2">
      <c r="A55" t="s">
        <v>96</v>
      </c>
      <c r="B55" t="str">
        <f>ROUND('By site'!CU10, 1) &amp; CHAR(10) &amp; "["  &amp; ROUND('By site'!CV10, 1) &amp; ", " &amp; ROUND('By site'!CW10, 1) &amp; "]"</f>
        <v>2.9
[2.2, 3.8]</v>
      </c>
      <c r="C55" t="str">
        <f>ROUND('By site'!CX10, 1) &amp; CHAR(10) &amp; "["  &amp; ROUND('By site'!CY10, 1) &amp; ", " &amp; ROUND('By site'!CZ10, 1) &amp; "]"</f>
        <v>0.7
[0.4, 1.6]</v>
      </c>
      <c r="D55" t="str">
        <f>ROUND('By site'!DA10, 1) &amp; CHAR(10) &amp; "["  &amp; ROUND('By site'!DB10, 1) &amp; ", " &amp; ROUND('By site'!DC10, 1) &amp; "]"</f>
        <v>0.2
[0.2, 0.3]</v>
      </c>
      <c r="E55" t="str">
        <f>ROUND('By site'!DD10, 1) &amp; CHAR(10) &amp; "["  &amp; ROUND('By site'!DE10, 1) &amp; ", " &amp; ROUND('By site'!DF10, 1) &amp; "]"</f>
        <v>0
[0, 0]</v>
      </c>
      <c r="F55" t="str">
        <f>ROUND('By site'!P10, 1) &amp; CHAR(10) &amp; "["  &amp; ROUND('By site'!Q10, 1) &amp; ", " &amp; ROUND('By site'!R10, 1) &amp; "]"</f>
        <v>3.8
[3, 5]</v>
      </c>
      <c r="G55" s="9">
        <f>'By site'!CU10/'By site'!P10</f>
        <v>0.76291700198800616</v>
      </c>
      <c r="I55" t="s">
        <v>96</v>
      </c>
      <c r="J55" s="23">
        <f>'By site'!CR10/'By site'!U10</f>
        <v>0.69346062758650162</v>
      </c>
      <c r="K55" s="23">
        <f>'By site'!EB10/'By site'!K10</f>
        <v>0.57838259632447264</v>
      </c>
      <c r="L55" s="23">
        <f>'By site'!EE10/('By site'!P10 + 'By site'!S10 + 'By site'!T10)</f>
        <v>0.80443219783265696</v>
      </c>
      <c r="O55" t="s">
        <v>96</v>
      </c>
      <c r="P55" s="9">
        <v>0.19641561359277601</v>
      </c>
      <c r="Q55" s="2">
        <v>6.21120706972702E-3</v>
      </c>
      <c r="S55" t="s">
        <v>96</v>
      </c>
      <c r="T55" s="2">
        <f>'By site'!H10/'By site'!U10</f>
        <v>0</v>
      </c>
      <c r="U55" s="2">
        <f>'By site'!S10/'By site'!U10</f>
        <v>0</v>
      </c>
    </row>
    <row r="56" spans="1:21" x14ac:dyDescent="0.2">
      <c r="A56" t="s">
        <v>98</v>
      </c>
      <c r="B56" t="str">
        <f>ROUND('By site'!CU11, 1) &amp; CHAR(10) &amp; "["  &amp; ROUND('By site'!CV11, 1) &amp; ", " &amp; ROUND('By site'!CW11, 1) &amp; "]"</f>
        <v>0.5
[0.4, 0.8]</v>
      </c>
      <c r="C56" t="str">
        <f>ROUND('By site'!CX11, 1) &amp; CHAR(10) &amp; "["  &amp; ROUND('By site'!CY11, 1) &amp; ", " &amp; ROUND('By site'!CZ11, 1) &amp; "]"</f>
        <v>0.3
[0.1, 0.4]</v>
      </c>
      <c r="D56" t="str">
        <f>ROUND('By site'!DA11, 1) &amp; CHAR(10) &amp; "["  &amp; ROUND('By site'!DB11, 1) &amp; ", " &amp; ROUND('By site'!DC11, 1) &amp; "]"</f>
        <v>0
[0, 0]</v>
      </c>
      <c r="E56" t="str">
        <f>ROUND('By site'!DD11, 1) &amp; CHAR(10) &amp; "["  &amp; ROUND('By site'!DE11, 1) &amp; ", " &amp; ROUND('By site'!DF11, 1) &amp; "]"</f>
        <v>0
[0, 0]</v>
      </c>
      <c r="F56" t="str">
        <f>ROUND('By site'!P11, 1) &amp; CHAR(10) &amp; "["  &amp; ROUND('By site'!Q11, 1) &amp; ", " &amp; ROUND('By site'!R11, 1) &amp; "]"</f>
        <v>0.8
[0.6, 1.1]</v>
      </c>
      <c r="G56" s="9">
        <f>'By site'!CU11/'By site'!P11</f>
        <v>0.67724985851032726</v>
      </c>
      <c r="I56" t="s">
        <v>98</v>
      </c>
      <c r="J56" s="23">
        <f>'By site'!CR11/'By site'!U11</f>
        <v>0.50976284520697057</v>
      </c>
      <c r="K56" s="23">
        <f>'By site'!EB11/'By site'!K11</f>
        <v>0.51006570146362618</v>
      </c>
      <c r="L56" s="23">
        <f>'By site'!EE11/('By site'!P11 + 'By site'!S11 + 'By site'!T11)</f>
        <v>0.5159894539048907</v>
      </c>
      <c r="O56" t="s">
        <v>98</v>
      </c>
      <c r="P56" s="9">
        <v>0.111421422118788</v>
      </c>
      <c r="Q56" s="2">
        <v>3.52345474030435E-3</v>
      </c>
      <c r="S56" t="s">
        <v>98</v>
      </c>
      <c r="T56" s="2">
        <f>'By site'!H11/'By site'!U11</f>
        <v>0</v>
      </c>
      <c r="U56" s="2">
        <f>'By site'!S11/'By site'!U11</f>
        <v>0</v>
      </c>
    </row>
    <row r="57" spans="1:21" x14ac:dyDescent="0.2">
      <c r="A57" t="s">
        <v>99</v>
      </c>
      <c r="B57" t="str">
        <f>ROUND('By site'!CU12, 1) &amp; CHAR(10) &amp; "["  &amp; ROUND('By site'!CV12, 1) &amp; ", " &amp; ROUND('By site'!CW12, 1) &amp; "]"</f>
        <v>0.2
[0.1, 0.4]</v>
      </c>
      <c r="C57" t="str">
        <f>ROUND('By site'!CX12, 1) &amp; CHAR(10) &amp; "["  &amp; ROUND('By site'!CY12, 1) &amp; ", " &amp; ROUND('By site'!CZ12, 1) &amp; "]"</f>
        <v>0.3
[0.1, 0.5]</v>
      </c>
      <c r="D57" t="str">
        <f>ROUND('By site'!DA12, 1) &amp; CHAR(10) &amp; "["  &amp; ROUND('By site'!DB12, 1) &amp; ", " &amp; ROUND('By site'!DC12, 1) &amp; "]"</f>
        <v>0.2
[0.1, 0.5]</v>
      </c>
      <c r="E57" t="str">
        <f>ROUND('By site'!DD12, 1) &amp; CHAR(10) &amp; "["  &amp; ROUND('By site'!DE12, 1) &amp; ", " &amp; ROUND('By site'!DF12, 1) &amp; "]"</f>
        <v>0
[0, 0]</v>
      </c>
      <c r="F57" t="str">
        <f>ROUND('By site'!P12, 1) &amp; CHAR(10) &amp; "["  &amp; ROUND('By site'!Q12, 1) &amp; ", " &amp; ROUND('By site'!R12, 1) &amp; "]"</f>
        <v>0.7
[0.5, 1.1]</v>
      </c>
      <c r="G57" s="9">
        <f>'By site'!CU12/'By site'!P12</f>
        <v>0.3075325631657172</v>
      </c>
      <c r="I57" t="s">
        <v>99</v>
      </c>
      <c r="J57" s="23">
        <f>'By site'!CR12/'By site'!U12</f>
        <v>0.14248673132375775</v>
      </c>
      <c r="K57" s="23">
        <f>'By site'!EB12/'By site'!K12</f>
        <v>0.16247921152940992</v>
      </c>
      <c r="L57" s="23">
        <f>'By site'!EE12/('By site'!P12 + 'By site'!S12 + 'By site'!T12)</f>
        <v>0.10251594515043247</v>
      </c>
      <c r="O57" t="s">
        <v>99</v>
      </c>
      <c r="P57" s="9">
        <v>4.7402711946863699E-2</v>
      </c>
      <c r="Q57" s="2">
        <v>1.4990053702096399E-3</v>
      </c>
      <c r="S57" t="s">
        <v>99</v>
      </c>
      <c r="T57" s="2">
        <f>'By site'!H12/'By site'!U12</f>
        <v>0</v>
      </c>
      <c r="U57" s="2">
        <f>'By site'!S12/'By site'!U12</f>
        <v>0</v>
      </c>
    </row>
    <row r="58" spans="1:21" x14ac:dyDescent="0.2">
      <c r="A58" t="s">
        <v>100</v>
      </c>
      <c r="B58" t="str">
        <f>ROUND('By site'!CU13, 1) &amp; CHAR(10) &amp; "["  &amp; ROUND('By site'!CV13, 1) &amp; ", " &amp; ROUND('By site'!CW13, 1) &amp; "]"</f>
        <v>1.2
[0.7, 2.8]</v>
      </c>
      <c r="C58" t="str">
        <f>ROUND('By site'!CX13, 1) &amp; CHAR(10) &amp; "["  &amp; ROUND('By site'!CY13, 1) &amp; ", " &amp; ROUND('By site'!CZ13, 1) &amp; "]"</f>
        <v>0.7
[0.5, 1.1]</v>
      </c>
      <c r="D58" t="str">
        <f>ROUND('By site'!DA13, 1) &amp; CHAR(10) &amp; "["  &amp; ROUND('By site'!DB13, 1) &amp; ", " &amp; ROUND('By site'!DC13, 1) &amp; "]"</f>
        <v>0.4
[0.2, 0.7]</v>
      </c>
      <c r="E58" t="str">
        <f>ROUND('By site'!DD13, 1) &amp; CHAR(10) &amp; "["  &amp; ROUND('By site'!DE13, 1) &amp; ", " &amp; ROUND('By site'!DF13, 1) &amp; "]"</f>
        <v>0
[0, 0]</v>
      </c>
      <c r="F58" t="str">
        <f>ROUND('By site'!P13, 1) &amp; CHAR(10) &amp; "["  &amp; ROUND('By site'!Q13, 1) &amp; ", " &amp; ROUND('By site'!R13, 1) &amp; "]"</f>
        <v>2.3
[1.6, 4.1]</v>
      </c>
      <c r="G58" s="9">
        <f>'By site'!CU13/'By site'!P13</f>
        <v>0.49898913751068902</v>
      </c>
      <c r="I58" t="s">
        <v>100</v>
      </c>
      <c r="J58" s="23">
        <f>'By site'!CR13/'By site'!U13</f>
        <v>0.20324776046279039</v>
      </c>
      <c r="K58" s="23">
        <f>'By site'!EB13/'By site'!K13</f>
        <v>0.1621884943005906</v>
      </c>
      <c r="L58" s="23">
        <f>'By site'!EE13/('By site'!P13 + 'By site'!S13 + 'By site'!T13)</f>
        <v>0.27438345468233988</v>
      </c>
      <c r="O58" t="s">
        <v>100</v>
      </c>
      <c r="P58" s="9">
        <v>8.9035172319459899E-2</v>
      </c>
      <c r="Q58" s="2">
        <v>2.8155393639507E-3</v>
      </c>
      <c r="S58" t="s">
        <v>100</v>
      </c>
      <c r="T58" s="2">
        <f>'By site'!H13/'By site'!U13</f>
        <v>0</v>
      </c>
      <c r="U58" s="2">
        <f>'By site'!S13/'By site'!U13</f>
        <v>0</v>
      </c>
    </row>
    <row r="59" spans="1:21" x14ac:dyDescent="0.2">
      <c r="A59" t="s">
        <v>101</v>
      </c>
      <c r="B59" t="str">
        <f>ROUND('By site'!CU14, 1) &amp; CHAR(10) &amp; "["  &amp; ROUND('By site'!CV14, 1) &amp; ", " &amp; ROUND('By site'!CW14, 1) &amp; "]"</f>
        <v>1.4
[0.6, 2.4]</v>
      </c>
      <c r="C59" t="str">
        <f>ROUND('By site'!CX14, 1) &amp; CHAR(10) &amp; "["  &amp; ROUND('By site'!CY14, 1) &amp; ", " &amp; ROUND('By site'!CZ14, 1) &amp; "]"</f>
        <v>6.4
[4.3, 8.5]</v>
      </c>
      <c r="D59" t="str">
        <f>ROUND('By site'!DA14, 1) &amp; CHAR(10) &amp; "["  &amp; ROUND('By site'!DB14, 1) &amp; ", " &amp; ROUND('By site'!DC14, 1) &amp; "]"</f>
        <v>0.1
[0, 0.4]</v>
      </c>
      <c r="E59" t="str">
        <f>ROUND('By site'!DD14, 1) &amp; CHAR(10) &amp; "["  &amp; ROUND('By site'!DE14, 1) &amp; ", " &amp; ROUND('By site'!DF14, 1) &amp; "]"</f>
        <v>0
[0, 0]</v>
      </c>
      <c r="F59" t="str">
        <f>ROUND('By site'!P14, 1) &amp; CHAR(10) &amp; "["  &amp; ROUND('By site'!Q14, 1) &amp; ", " &amp; ROUND('By site'!R14, 1) &amp; "]"</f>
        <v>7.8
[5.6, 10.2]</v>
      </c>
      <c r="G59" s="9">
        <f>'By site'!CU14/'By site'!P14</f>
        <v>0.17636069014971356</v>
      </c>
      <c r="I59" t="s">
        <v>101</v>
      </c>
      <c r="J59" s="23">
        <f>'By site'!CR14/'By site'!U14</f>
        <v>0.6064886517065432</v>
      </c>
      <c r="K59" s="23">
        <f>'By site'!EB14/'By site'!K14</f>
        <v>0.76536214587721363</v>
      </c>
      <c r="L59" s="23">
        <f>'By site'!EE14/('By site'!P14 + 'By site'!S14 + 'By site'!T14)</f>
        <v>0.30186484043482187</v>
      </c>
      <c r="O59" t="s">
        <v>101</v>
      </c>
      <c r="P59" s="9">
        <v>5.7544121169968203E-2</v>
      </c>
      <c r="Q59" s="2">
        <v>1.81970488849813E-3</v>
      </c>
      <c r="S59" t="s">
        <v>101</v>
      </c>
      <c r="T59" s="2">
        <f>'By site'!H14/'By site'!U14</f>
        <v>0</v>
      </c>
      <c r="U59" s="2">
        <f>'By site'!S14/'By site'!U14</f>
        <v>0</v>
      </c>
    </row>
    <row r="60" spans="1:21" x14ac:dyDescent="0.2">
      <c r="A60" t="s">
        <v>89</v>
      </c>
      <c r="B60" t="str">
        <f>ROUND('By site'!CU15, 1) &amp; CHAR(10) &amp; "["  &amp; ROUND('By site'!CV15, 1) &amp; ", " &amp; ROUND('By site'!CW15, 1) &amp; "]"</f>
        <v>1.8
[1.3, 2.4]</v>
      </c>
      <c r="C60" t="str">
        <f>ROUND('By site'!CX15, 1) &amp; CHAR(10) &amp; "["  &amp; ROUND('By site'!CY15, 1) &amp; ", " &amp; ROUND('By site'!CZ15, 1) &amp; "]"</f>
        <v>0.3
[0.2, 0.4]</v>
      </c>
      <c r="D60" t="str">
        <f>ROUND('By site'!DA15, 1) &amp; CHAR(10) &amp; "["  &amp; ROUND('By site'!DB15, 1) &amp; ", " &amp; ROUND('By site'!DC15, 1) &amp; "]"</f>
        <v>0.3
[0.1, 0.9]</v>
      </c>
      <c r="E60" t="str">
        <f>ROUND('By site'!DD15, 1) &amp; CHAR(10) &amp; "["  &amp; ROUND('By site'!DE15, 1) &amp; ", " &amp; ROUND('By site'!DF15, 1) &amp; "]"</f>
        <v>0
[0, 0]</v>
      </c>
      <c r="F60" t="str">
        <f>ROUND('By site'!P15, 1) &amp; CHAR(10) &amp; "["  &amp; ROUND('By site'!Q15, 1) &amp; ", " &amp; ROUND('By site'!R15, 1) &amp; "]"</f>
        <v>2.4
[1.8, 3.2]</v>
      </c>
      <c r="G60" s="9">
        <f>'By site'!CU15/'By site'!P15</f>
        <v>0.76405121272425125</v>
      </c>
      <c r="I60" t="s">
        <v>89</v>
      </c>
      <c r="J60" s="23">
        <f>'By site'!CR15/'By site'!U15</f>
        <v>0.41657615186339797</v>
      </c>
      <c r="K60" s="23">
        <f>'By site'!EB15/'By site'!K15</f>
        <v>0.36792787919504155</v>
      </c>
      <c r="L60" s="23">
        <f>'By site'!EE15/('By site'!P15 + 'By site'!S15 + 'By site'!T15)</f>
        <v>0.6422141222420753</v>
      </c>
      <c r="O60" t="s">
        <v>89</v>
      </c>
      <c r="P60" s="9">
        <v>7.0991530548878606E-2</v>
      </c>
      <c r="Q60" s="2">
        <v>2.2449493111588001E-3</v>
      </c>
      <c r="S60" t="s">
        <v>89</v>
      </c>
      <c r="T60" s="2">
        <f>'By site'!H15/'By site'!U15</f>
        <v>0</v>
      </c>
      <c r="U60" s="2">
        <f>'By site'!S15/'By site'!U15</f>
        <v>0</v>
      </c>
    </row>
    <row r="61" spans="1:21" x14ac:dyDescent="0.2">
      <c r="A61" t="s">
        <v>102</v>
      </c>
      <c r="B61" t="str">
        <f>ROUND('By site'!CU16, 1) &amp; CHAR(10) &amp; "["  &amp; ROUND('By site'!CV16, 1) &amp; ", " &amp; ROUND('By site'!CW16, 1) &amp; "]"</f>
        <v>1
[0.8, 1.2]</v>
      </c>
      <c r="C61" t="str">
        <f>ROUND('By site'!CX16, 1) &amp; CHAR(10) &amp; "["  &amp; ROUND('By site'!CY16, 1) &amp; ", " &amp; ROUND('By site'!CZ16, 1) &amp; "]"</f>
        <v>0.9
[0.6, 1.3]</v>
      </c>
      <c r="D61" t="str">
        <f>ROUND('By site'!DA16, 1) &amp; CHAR(10) &amp; "["  &amp; ROUND('By site'!DB16, 1) &amp; ", " &amp; ROUND('By site'!DC16, 1) &amp; "]"</f>
        <v>0.6
[0.3, 0.8]</v>
      </c>
      <c r="E61" t="e">
        <f>ROUND('By site'!DD16, 1) &amp; CHAR(10) &amp; "["  &amp; ROUND('By site'!DE16, 1) &amp; ", " &amp; ROUND('By site'!DF16, 1) &amp; "]"</f>
        <v>#VALUE!</v>
      </c>
      <c r="F61" t="str">
        <f>ROUND('By site'!P16, 1) &amp; CHAR(10) &amp; "["  &amp; ROUND('By site'!Q16, 1) &amp; ", " &amp; ROUND('By site'!R16, 1) &amp; "]"</f>
        <v>2.6
[2.1, 3.1]</v>
      </c>
      <c r="G61" s="9">
        <f>'By site'!CU16/'By site'!P16</f>
        <v>0.39823418483783862</v>
      </c>
      <c r="I61" t="s">
        <v>102</v>
      </c>
      <c r="J61" s="23">
        <f>'By site'!CR16/'By site'!U16</f>
        <v>0.68849202660236131</v>
      </c>
      <c r="K61" s="23">
        <f>'By site'!EB16/'By site'!K16</f>
        <v>0.78217244362642069</v>
      </c>
      <c r="L61" s="23">
        <f>'By site'!EE16/('By site'!P16 + 'By site'!S16 + 'By site'!T16)</f>
        <v>0.4022339322775173</v>
      </c>
      <c r="O61" t="s">
        <v>102</v>
      </c>
      <c r="P61" s="9">
        <v>6.5015162364104803E-2</v>
      </c>
      <c r="Q61" s="2">
        <v>2.05595995516229E-3</v>
      </c>
      <c r="S61" t="s">
        <v>102</v>
      </c>
      <c r="T61" s="2">
        <f>'By site'!H16/'By site'!U16</f>
        <v>2.9240970298783735E-2</v>
      </c>
      <c r="U61" s="2">
        <f>'By site'!S16/'By site'!U16</f>
        <v>6.2443323213063139E-2</v>
      </c>
    </row>
    <row r="62" spans="1:21" x14ac:dyDescent="0.2">
      <c r="A62" t="s">
        <v>103</v>
      </c>
      <c r="B62" t="str">
        <f>ROUND('By site'!CU17, 1) &amp; CHAR(10) &amp; "["  &amp; ROUND('By site'!CV17, 1) &amp; ", " &amp; ROUND('By site'!CW17, 1) &amp; "]"</f>
        <v>22.3
[20, 24.9]</v>
      </c>
      <c r="C62" t="str">
        <f>ROUND('By site'!CX17, 1) &amp; CHAR(10) &amp; "["  &amp; ROUND('By site'!CY17, 1) &amp; ", " &amp; ROUND('By site'!CZ17, 1) &amp; "]"</f>
        <v>34.9
[31.4, 39.6]</v>
      </c>
      <c r="D62" t="str">
        <f>ROUND('By site'!DA17, 1) &amp; CHAR(10) &amp; "["  &amp; ROUND('By site'!DB17, 1) &amp; ", " &amp; ROUND('By site'!DC17, 1) &amp; "]"</f>
        <v>18.2
[13.6, 24.8]</v>
      </c>
      <c r="E62" t="str">
        <f>ROUND('By site'!DD17, 1) &amp; CHAR(10) &amp; "["  &amp; ROUND('By site'!DE17, 1) &amp; ", " &amp; ROUND('By site'!DF17, 1) &amp; "]"</f>
        <v>0
[0, 0]</v>
      </c>
      <c r="F62" t="str">
        <f>ROUND('By site'!P17, 1) &amp; CHAR(10) &amp; "["  &amp; ROUND('By site'!Q17, 1) &amp; ", " &amp; ROUND('By site'!R17, 1) &amp; "]"</f>
        <v>75.5
[68.8, 83.7]</v>
      </c>
      <c r="G62" s="9">
        <f>'By site'!CU17/'By site'!P17</f>
        <v>0.29586839361716039</v>
      </c>
      <c r="I62" t="s">
        <v>103</v>
      </c>
      <c r="J62" s="23">
        <f>'By site'!CR17/'By site'!U17</f>
        <v>0.82048120362034116</v>
      </c>
      <c r="K62" s="23">
        <f>'By site'!EB17/'By site'!K17</f>
        <v>0</v>
      </c>
      <c r="L62" s="23">
        <f>'By site'!EE17/('By site'!P17 + 'By site'!S17 + 'By site'!T17)</f>
        <v>0</v>
      </c>
      <c r="O62" t="s">
        <v>103</v>
      </c>
      <c r="P62" s="9">
        <v>6.6200512871116196E-2</v>
      </c>
      <c r="Q62" s="2">
        <v>2.0934440294402001E-3</v>
      </c>
      <c r="S62" t="s">
        <v>103</v>
      </c>
      <c r="T62" s="2">
        <f>'By site'!H17/'By site'!U17</f>
        <v>0</v>
      </c>
      <c r="U62" s="2">
        <f>'By site'!S17/'By site'!U17</f>
        <v>0</v>
      </c>
    </row>
    <row r="63" spans="1:21" x14ac:dyDescent="0.2">
      <c r="A63" t="s">
        <v>104</v>
      </c>
      <c r="B63" t="str">
        <f>ROUND('By site'!CU18, 1) &amp; CHAR(10) &amp; "["  &amp; ROUND('By site'!CV18, 1) &amp; ", " &amp; ROUND('By site'!CW18, 1) &amp; "]"</f>
        <v>9.5
[8, 11.5]</v>
      </c>
      <c r="C63" t="str">
        <f>ROUND('By site'!CX18, 1) &amp; CHAR(10) &amp; "["  &amp; ROUND('By site'!CY18, 1) &amp; ", " &amp; ROUND('By site'!CZ18, 1) &amp; "]"</f>
        <v>24.1
[22.1, 26.9]</v>
      </c>
      <c r="D63" t="str">
        <f>ROUND('By site'!DA18, 1) &amp; CHAR(10) &amp; "["  &amp; ROUND('By site'!DB18, 1) &amp; ", " &amp; ROUND('By site'!DC18, 1) &amp; "]"</f>
        <v>3.5
[2.7, 6.8]</v>
      </c>
      <c r="E63" t="str">
        <f>ROUND('By site'!DD18, 1) &amp; CHAR(10) &amp; "["  &amp; ROUND('By site'!DE18, 1) &amp; ", " &amp; ROUND('By site'!DF18, 1) &amp; "]"</f>
        <v>0
[0, 0]</v>
      </c>
      <c r="F63" t="str">
        <f>ROUND('By site'!P18, 1) &amp; CHAR(10) &amp; "["  &amp; ROUND('By site'!Q18, 1) &amp; ", " &amp; ROUND('By site'!R18, 1) &amp; "]"</f>
        <v>37.2
[34.1, 41.4]</v>
      </c>
      <c r="G63" s="9">
        <f>'By site'!CU18/'By site'!P18</f>
        <v>0.2564707326016139</v>
      </c>
      <c r="I63" t="s">
        <v>104</v>
      </c>
      <c r="J63" s="23">
        <f>'By site'!CR18/'By site'!U18</f>
        <v>0.78087442148346231</v>
      </c>
      <c r="K63" s="23">
        <f>'By site'!EB18/'By site'!K18</f>
        <v>0</v>
      </c>
      <c r="L63" s="23">
        <f>'By site'!EE18/('By site'!P18 + 'By site'!S18 + 'By site'!T18)</f>
        <v>0</v>
      </c>
      <c r="O63" t="s">
        <v>104</v>
      </c>
      <c r="P63" s="9">
        <v>7.9024394871581194E-2</v>
      </c>
      <c r="Q63" s="2">
        <v>2.4989707851072601E-3</v>
      </c>
      <c r="S63" t="s">
        <v>104</v>
      </c>
      <c r="T63" s="2">
        <f>'By site'!H18/'By site'!U18</f>
        <v>0</v>
      </c>
      <c r="U63" s="2">
        <f>'By site'!S18/'By site'!U18</f>
        <v>0</v>
      </c>
    </row>
    <row r="64" spans="1:21" x14ac:dyDescent="0.2">
      <c r="A64" t="s">
        <v>105</v>
      </c>
      <c r="B64" t="str">
        <f>ROUND('By site'!CU19, 1) &amp; CHAR(10) &amp; "["  &amp; ROUND('By site'!CV19, 1) &amp; ", " &amp; ROUND('By site'!CW19, 1) &amp; "]"</f>
        <v>12.8
[11.4, 14.3]</v>
      </c>
      <c r="C64" t="str">
        <f>ROUND('By site'!CX19, 1) &amp; CHAR(10) &amp; "["  &amp; ROUND('By site'!CY19, 1) &amp; ", " &amp; ROUND('By site'!CZ19, 1) &amp; "]"</f>
        <v>10.9
[8.2, 15.6]</v>
      </c>
      <c r="D64" t="str">
        <f>ROUND('By site'!DA19, 1) &amp; CHAR(10) &amp; "["  &amp; ROUND('By site'!DB19, 1) &amp; ", " &amp; ROUND('By site'!DC19, 1) &amp; "]"</f>
        <v>14.6
[9.6, 22.3]</v>
      </c>
      <c r="E64" t="str">
        <f>ROUND('By site'!DD19, 1) &amp; CHAR(10) &amp; "["  &amp; ROUND('By site'!DE19, 1) &amp; ", " &amp; ROUND('By site'!DF19, 1) &amp; "]"</f>
        <v>0
[0, 0]</v>
      </c>
      <c r="F64" t="str">
        <f>ROUND('By site'!P19, 1) &amp; CHAR(10) &amp; "["  &amp; ROUND('By site'!Q19, 1) &amp; ", " &amp; ROUND('By site'!R19, 1) &amp; "]"</f>
        <v>38.3
[31.8, 47.4]</v>
      </c>
      <c r="G64" s="9">
        <f>'By site'!CU19/'By site'!P19</f>
        <v>0.33418868035801602</v>
      </c>
      <c r="I64" t="s">
        <v>105</v>
      </c>
      <c r="J64" s="23">
        <f>'By site'!CR19/'By site'!U19</f>
        <v>0.866516329962155</v>
      </c>
      <c r="K64" s="23">
        <f>'By site'!EB19/'By site'!K19</f>
        <v>0</v>
      </c>
      <c r="L64" s="23">
        <f>'By site'!EE19/('By site'!P19 + 'By site'!S19 + 'By site'!T19)</f>
        <v>0</v>
      </c>
      <c r="O64" t="s">
        <v>105</v>
      </c>
      <c r="P64" s="9">
        <v>0.112914443367717</v>
      </c>
      <c r="Q64" s="2">
        <v>3.5706682177207901E-3</v>
      </c>
      <c r="S64" t="s">
        <v>105</v>
      </c>
      <c r="T64" s="2">
        <f>'By site'!H19/'By site'!U19</f>
        <v>0</v>
      </c>
      <c r="U64" s="2">
        <f>'By site'!S19/'By site'!U19</f>
        <v>0</v>
      </c>
    </row>
    <row r="65" spans="1:21" x14ac:dyDescent="0.2">
      <c r="A65" t="s">
        <v>134</v>
      </c>
      <c r="B65" t="str">
        <f>ROUND('By site'!CU20, 1) &amp; CHAR(10) &amp; "["  &amp; ROUND('By site'!CV20, 1) &amp; ", " &amp; ROUND('By site'!CW20, 1) &amp; "]"</f>
        <v>1.4
[0.4, 2.5]</v>
      </c>
      <c r="C65" t="str">
        <f>ROUND('By site'!CX20, 1) &amp; CHAR(10) &amp; "["  &amp; ROUND('By site'!CY20, 1) &amp; ", " &amp; ROUND('By site'!CZ20, 1) &amp; "]"</f>
        <v>6.9
[4.7, 9.4]</v>
      </c>
      <c r="D65" t="str">
        <f>ROUND('By site'!DA20, 1) &amp; CHAR(10) &amp; "["  &amp; ROUND('By site'!DB20, 1) &amp; ", " &amp; ROUND('By site'!DC20, 1) &amp; "]"</f>
        <v>0.1
[0, 0.4]</v>
      </c>
      <c r="E65" t="str">
        <f>ROUND('By site'!DD20, 1) &amp; CHAR(10) &amp; "["  &amp; ROUND('By site'!DE20, 1) &amp; ", " &amp; ROUND('By site'!DF20, 1) &amp; "]"</f>
        <v>0
[0, 0]</v>
      </c>
      <c r="F65" t="str">
        <f>ROUND('By site'!P20, 1) &amp; CHAR(10) &amp; "["  &amp; ROUND('By site'!Q20, 1) &amp; ", " &amp; ROUND('By site'!R20, 1) &amp; "]"</f>
        <v>8.4
[5.9, 11.1]</v>
      </c>
      <c r="G65" s="9">
        <f>'By site'!CU20/'By site'!P20</f>
        <v>0.16550135778847816</v>
      </c>
      <c r="I65" t="s">
        <v>134</v>
      </c>
      <c r="J65" s="23">
        <f>'By site'!CR20/'By site'!U20</f>
        <v>0.74120249172530761</v>
      </c>
      <c r="K65" s="23">
        <f>'By site'!EB20/'By site'!K20</f>
        <v>0</v>
      </c>
      <c r="L65" s="23">
        <f>'By site'!EE20/('By site'!P20 + 'By site'!S20 + 'By site'!T20)</f>
        <v>0</v>
      </c>
      <c r="O65" t="s">
        <v>134</v>
      </c>
      <c r="P65" s="9">
        <v>7.3058183163066601E-2</v>
      </c>
      <c r="Q65" s="2">
        <v>2.3103026050905499E-3</v>
      </c>
      <c r="S65" t="s">
        <v>134</v>
      </c>
      <c r="T65" s="2">
        <f>'By site'!H20/'By site'!U20</f>
        <v>0</v>
      </c>
      <c r="U65" s="2">
        <f>'By site'!S20/'By site'!U20</f>
        <v>0</v>
      </c>
    </row>
    <row r="66" spans="1:21" x14ac:dyDescent="0.2">
      <c r="I66" t="s">
        <v>208</v>
      </c>
      <c r="J66" s="23">
        <f>'By site'!CI28</f>
        <v>0.74759358560412648</v>
      </c>
      <c r="K66" s="23">
        <f>'By site'!EB28</f>
        <v>0.73340884423896846</v>
      </c>
      <c r="L66" s="23">
        <f>'By site'!EE28</f>
        <v>0.77136994345172027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DC2B9-085C-8A46-A27B-BDD957FD37D2}">
  <dimension ref="A1:EA25"/>
  <sheetViews>
    <sheetView workbookViewId="0">
      <pane xSplit="1" ySplit="1" topLeftCell="AA2" activePane="bottomRight" state="frozen"/>
      <selection pane="topRight" activeCell="B1" sqref="B1"/>
      <selection pane="bottomLeft" activeCell="A2" sqref="A2"/>
      <selection pane="bottomRight" activeCell="AL1" sqref="AL1:AL1048576"/>
    </sheetView>
  </sheetViews>
  <sheetFormatPr baseColWidth="10" defaultRowHeight="16" x14ac:dyDescent="0.2"/>
  <cols>
    <col min="1" max="1" width="21.5" customWidth="1"/>
    <col min="2" max="2" width="14.1640625" customWidth="1"/>
    <col min="36" max="36" width="10.6640625" customWidth="1"/>
  </cols>
  <sheetData>
    <row r="1" spans="1:131" x14ac:dyDescent="0.2">
      <c r="A1" t="s">
        <v>106</v>
      </c>
      <c r="B1" t="s">
        <v>18</v>
      </c>
      <c r="C1" t="s">
        <v>141</v>
      </c>
      <c r="D1" t="s">
        <v>142</v>
      </c>
      <c r="E1" t="s">
        <v>19</v>
      </c>
      <c r="F1" t="s">
        <v>143</v>
      </c>
      <c r="G1" t="s">
        <v>144</v>
      </c>
      <c r="H1" t="s">
        <v>20</v>
      </c>
      <c r="I1" t="s">
        <v>197</v>
      </c>
      <c r="J1" t="s">
        <v>198</v>
      </c>
      <c r="K1" t="s">
        <v>145</v>
      </c>
      <c r="L1" t="s">
        <v>146</v>
      </c>
      <c r="M1" t="s">
        <v>147</v>
      </c>
      <c r="N1" t="s">
        <v>53</v>
      </c>
      <c r="O1" t="s">
        <v>54</v>
      </c>
      <c r="P1" t="s">
        <v>69</v>
      </c>
      <c r="Q1" t="s">
        <v>70</v>
      </c>
      <c r="R1" t="s">
        <v>71</v>
      </c>
      <c r="S1" t="s">
        <v>67</v>
      </c>
      <c r="T1" t="s">
        <v>72</v>
      </c>
      <c r="U1" t="s">
        <v>55</v>
      </c>
      <c r="V1" t="s">
        <v>56</v>
      </c>
      <c r="W1" t="s">
        <v>57</v>
      </c>
      <c r="X1" t="s">
        <v>14</v>
      </c>
      <c r="Y1" t="s">
        <v>86</v>
      </c>
      <c r="Z1" t="s">
        <v>15</v>
      </c>
      <c r="AA1" t="s">
        <v>25</v>
      </c>
      <c r="AB1" t="s">
        <v>26</v>
      </c>
      <c r="AC1" t="s">
        <v>33</v>
      </c>
      <c r="AD1" t="s">
        <v>34</v>
      </c>
      <c r="AE1" t="s">
        <v>40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  <c r="AK1" t="s">
        <v>65</v>
      </c>
      <c r="AM1" t="s">
        <v>22</v>
      </c>
      <c r="AN1" t="s">
        <v>35</v>
      </c>
      <c r="AO1" t="s">
        <v>38</v>
      </c>
      <c r="AP1" t="s">
        <v>148</v>
      </c>
      <c r="AQ1" t="s">
        <v>50</v>
      </c>
      <c r="AR1" t="s">
        <v>149</v>
      </c>
      <c r="AS1" t="s">
        <v>88</v>
      </c>
      <c r="AT1" t="s">
        <v>87</v>
      </c>
      <c r="AU1" t="s">
        <v>150</v>
      </c>
      <c r="AV1" t="s">
        <v>151</v>
      </c>
      <c r="AW1" t="s">
        <v>152</v>
      </c>
      <c r="AX1" t="s">
        <v>153</v>
      </c>
      <c r="AY1" s="1" t="s">
        <v>154</v>
      </c>
      <c r="AZ1" s="1" t="s">
        <v>155</v>
      </c>
      <c r="BA1" t="s">
        <v>156</v>
      </c>
      <c r="BB1" t="s">
        <v>157</v>
      </c>
      <c r="BC1" t="s">
        <v>58</v>
      </c>
      <c r="BD1" t="s">
        <v>59</v>
      </c>
      <c r="BE1" t="s">
        <v>16</v>
      </c>
      <c r="BF1" t="s">
        <v>158</v>
      </c>
      <c r="BG1" t="s">
        <v>159</v>
      </c>
      <c r="BH1" t="s">
        <v>85</v>
      </c>
      <c r="BI1" t="s">
        <v>160</v>
      </c>
      <c r="BJ1" t="s">
        <v>161</v>
      </c>
      <c r="BK1" t="s">
        <v>17</v>
      </c>
      <c r="BL1" t="s">
        <v>42</v>
      </c>
      <c r="BM1" t="s">
        <v>43</v>
      </c>
      <c r="BN1" t="s">
        <v>44</v>
      </c>
      <c r="BO1" t="s">
        <v>45</v>
      </c>
      <c r="BP1" t="s">
        <v>162</v>
      </c>
      <c r="BQ1" t="s">
        <v>163</v>
      </c>
      <c r="BR1" t="s">
        <v>164</v>
      </c>
      <c r="BS1" t="s">
        <v>68</v>
      </c>
      <c r="BT1" t="s">
        <v>165</v>
      </c>
      <c r="BU1" t="s">
        <v>166</v>
      </c>
      <c r="BV1" t="s">
        <v>73</v>
      </c>
      <c r="BW1" t="s">
        <v>167</v>
      </c>
      <c r="BX1" t="s">
        <v>168</v>
      </c>
      <c r="BY1" t="s">
        <v>169</v>
      </c>
      <c r="BZ1" t="s">
        <v>170</v>
      </c>
      <c r="CA1" t="s">
        <v>171</v>
      </c>
      <c r="CB1" t="s">
        <v>172</v>
      </c>
      <c r="CC1" t="s">
        <v>173</v>
      </c>
      <c r="CD1" t="s">
        <v>23</v>
      </c>
      <c r="CE1" t="s">
        <v>174</v>
      </c>
      <c r="CF1" t="s">
        <v>175</v>
      </c>
      <c r="CG1" t="s">
        <v>39</v>
      </c>
      <c r="CH1" t="s">
        <v>41</v>
      </c>
      <c r="CI1" t="s">
        <v>79</v>
      </c>
      <c r="CJ1" t="s">
        <v>176</v>
      </c>
      <c r="CK1" t="s">
        <v>177</v>
      </c>
      <c r="CL1" t="s">
        <v>76</v>
      </c>
      <c r="CM1" t="s">
        <v>178</v>
      </c>
      <c r="CN1" t="s">
        <v>179</v>
      </c>
      <c r="CO1" t="s">
        <v>22</v>
      </c>
      <c r="CP1" t="s">
        <v>180</v>
      </c>
      <c r="CQ1" t="s">
        <v>181</v>
      </c>
      <c r="CR1" t="s">
        <v>182</v>
      </c>
      <c r="CS1" t="s">
        <v>183</v>
      </c>
      <c r="CT1" t="s">
        <v>184</v>
      </c>
      <c r="CU1" t="s">
        <v>185</v>
      </c>
      <c r="CV1" t="s">
        <v>186</v>
      </c>
      <c r="CW1" t="s">
        <v>187</v>
      </c>
      <c r="CX1" t="s">
        <v>188</v>
      </c>
      <c r="CY1" t="s">
        <v>189</v>
      </c>
      <c r="CZ1" t="s">
        <v>190</v>
      </c>
      <c r="DA1" t="s">
        <v>191</v>
      </c>
      <c r="DB1" t="s">
        <v>192</v>
      </c>
      <c r="DC1" t="s">
        <v>193</v>
      </c>
      <c r="DD1" t="s">
        <v>194</v>
      </c>
      <c r="DE1" t="s">
        <v>195</v>
      </c>
      <c r="DF1" t="s">
        <v>196</v>
      </c>
      <c r="DG1" t="s">
        <v>80</v>
      </c>
      <c r="DH1" t="s">
        <v>77</v>
      </c>
      <c r="DI1" t="s">
        <v>78</v>
      </c>
      <c r="DJ1" t="s">
        <v>81</v>
      </c>
      <c r="DK1" t="s">
        <v>82</v>
      </c>
      <c r="DL1" t="s">
        <v>75</v>
      </c>
      <c r="DM1" t="s">
        <v>24</v>
      </c>
      <c r="DN1" t="s">
        <v>27</v>
      </c>
      <c r="DO1" t="s">
        <v>116</v>
      </c>
      <c r="DP1" t="s">
        <v>119</v>
      </c>
      <c r="DQ1" t="s">
        <v>120</v>
      </c>
      <c r="DR1" t="s">
        <v>135</v>
      </c>
      <c r="DS1" t="s">
        <v>136</v>
      </c>
      <c r="DT1" t="s">
        <v>137</v>
      </c>
      <c r="DU1" t="s">
        <v>138</v>
      </c>
      <c r="DV1" t="s">
        <v>223</v>
      </c>
      <c r="DW1" t="s">
        <v>224</v>
      </c>
      <c r="DX1" t="s">
        <v>225</v>
      </c>
      <c r="DY1" t="s">
        <v>226</v>
      </c>
      <c r="DZ1" t="s">
        <v>227</v>
      </c>
      <c r="EA1" t="s">
        <v>228</v>
      </c>
    </row>
    <row r="2" spans="1:131" x14ac:dyDescent="0.2">
      <c r="A2" t="s">
        <v>1</v>
      </c>
      <c r="S2" s="9"/>
      <c r="T2" s="6"/>
      <c r="U2" s="6"/>
      <c r="V2" s="4"/>
      <c r="W2" s="7"/>
      <c r="X2" s="7"/>
      <c r="Y2" s="8"/>
      <c r="Z2" s="7"/>
      <c r="AA2" s="7"/>
      <c r="AB2" s="7"/>
      <c r="AI2" s="11"/>
      <c r="AJ2" s="4"/>
      <c r="AK2" s="6"/>
      <c r="AL2" s="6"/>
      <c r="AM2" s="11"/>
      <c r="AN2" s="2"/>
      <c r="AR2" s="3"/>
      <c r="AS2" s="2"/>
      <c r="AT2" s="2"/>
      <c r="AU2" s="2"/>
      <c r="AV2" s="2"/>
      <c r="AW2" s="2"/>
      <c r="AX2" s="2"/>
      <c r="AY2" s="3"/>
      <c r="AZ2" s="3"/>
      <c r="BA2" s="2"/>
      <c r="BB2" s="3"/>
      <c r="BC2" s="3"/>
      <c r="BD2" s="3"/>
      <c r="BE2" s="3"/>
      <c r="BF2" s="3"/>
      <c r="BG2" s="3"/>
      <c r="BH2" s="3"/>
      <c r="BI2" s="3"/>
      <c r="BK2" s="7"/>
      <c r="BL2" s="3"/>
      <c r="BM2" s="3"/>
      <c r="BN2" s="3"/>
      <c r="BO2" s="12"/>
      <c r="BP2" s="12"/>
      <c r="BQ2" s="12"/>
      <c r="BR2" s="9"/>
      <c r="BS2" s="9"/>
      <c r="BT2" s="9"/>
      <c r="BU2" s="9"/>
      <c r="BV2" s="9"/>
    </row>
    <row r="3" spans="1:131" x14ac:dyDescent="0.2">
      <c r="A3" t="s">
        <v>90</v>
      </c>
      <c r="B3">
        <v>296.076611516166</v>
      </c>
      <c r="C3">
        <v>291.91127792527999</v>
      </c>
      <c r="D3">
        <v>300.00331109537899</v>
      </c>
      <c r="E3">
        <v>920.32253986157298</v>
      </c>
      <c r="F3">
        <v>898.65027927508095</v>
      </c>
      <c r="G3">
        <v>936.18478920158498</v>
      </c>
      <c r="H3">
        <v>0</v>
      </c>
      <c r="I3">
        <v>0</v>
      </c>
      <c r="J3">
        <v>0</v>
      </c>
      <c r="K3">
        <v>1216.3991513777401</v>
      </c>
      <c r="L3">
        <v>1194.4508277371499</v>
      </c>
      <c r="M3">
        <v>1234.4512077066399</v>
      </c>
      <c r="N3">
        <v>898.65027927508095</v>
      </c>
      <c r="O3">
        <v>936.18478920158498</v>
      </c>
      <c r="P3">
        <v>828.62889552065303</v>
      </c>
      <c r="Q3">
        <v>805.22847509389305</v>
      </c>
      <c r="R3">
        <v>851.81590705976498</v>
      </c>
      <c r="S3" s="9">
        <v>0</v>
      </c>
      <c r="T3" s="6">
        <v>285.450080400133</v>
      </c>
      <c r="U3" s="6">
        <v>2330.4781272985201</v>
      </c>
      <c r="V3" s="4">
        <v>2250.9173364615199</v>
      </c>
      <c r="W3" s="7">
        <v>2416.5610910177302</v>
      </c>
      <c r="X3" s="7">
        <v>1000</v>
      </c>
      <c r="Y3" s="8">
        <v>6.9697854072994399E-3</v>
      </c>
      <c r="Z3" s="7">
        <v>15.0295249</v>
      </c>
      <c r="AA3" s="7">
        <v>113</v>
      </c>
      <c r="AB3" s="7">
        <v>78493.850326203203</v>
      </c>
      <c r="AC3">
        <v>84570</v>
      </c>
      <c r="AD3">
        <v>326908</v>
      </c>
      <c r="AE3">
        <v>1.82507693639206</v>
      </c>
      <c r="AF3">
        <v>1749</v>
      </c>
      <c r="AG3">
        <v>1502</v>
      </c>
      <c r="AH3">
        <v>1054</v>
      </c>
      <c r="AI3" s="11">
        <v>483.45299999999997</v>
      </c>
      <c r="AJ3" s="4">
        <v>0</v>
      </c>
      <c r="AK3" s="6">
        <v>0</v>
      </c>
      <c r="AL3" s="6"/>
      <c r="AM3" s="11">
        <v>581.526691916299</v>
      </c>
      <c r="AN3" s="2" t="s">
        <v>37</v>
      </c>
      <c r="AO3" t="s">
        <v>37</v>
      </c>
      <c r="AP3">
        <v>20230329</v>
      </c>
      <c r="AQ3">
        <v>179120</v>
      </c>
      <c r="AR3" s="3">
        <v>3.8655933703088201</v>
      </c>
      <c r="AS3" s="2">
        <v>0.50861822288460201</v>
      </c>
      <c r="AT3" s="2">
        <v>3.54495986774767E-3</v>
      </c>
      <c r="AU3" s="2">
        <v>2.2040396689670599E-4</v>
      </c>
      <c r="AV3" s="2">
        <v>0.26599034345600098</v>
      </c>
      <c r="AW3" s="2">
        <v>0.73400965654399897</v>
      </c>
      <c r="AX3" s="2">
        <v>0</v>
      </c>
      <c r="AY3" s="17">
        <v>3.7719720753375801E-3</v>
      </c>
      <c r="AZ3" s="3">
        <v>3.7189063437729299E-3</v>
      </c>
      <c r="BA3" s="3">
        <v>3.8219976450209899E-3</v>
      </c>
      <c r="BB3" s="3">
        <v>1.1724772527235101E-2</v>
      </c>
      <c r="BC3" s="3">
        <v>1.1448671144815599E-2</v>
      </c>
      <c r="BD3" s="3">
        <v>1.19268552289257E-2</v>
      </c>
      <c r="BE3" s="3">
        <v>0</v>
      </c>
      <c r="BF3" s="3">
        <v>0</v>
      </c>
      <c r="BG3" s="3">
        <v>0</v>
      </c>
      <c r="BH3" s="3">
        <v>1.54967446025727E-2</v>
      </c>
      <c r="BI3" s="3">
        <v>1.5217126217828199E-2</v>
      </c>
      <c r="BJ3">
        <v>1.5726725120204E-2</v>
      </c>
      <c r="BK3" s="3">
        <v>2.9689945360223399E-2</v>
      </c>
      <c r="BL3" s="3">
        <v>-1.0135926637101899E-3</v>
      </c>
      <c r="BM3" s="3">
        <v>1.0966841779510299E-3</v>
      </c>
      <c r="BN3" s="3">
        <v>2.86763526965132E-2</v>
      </c>
      <c r="BO3" s="3">
        <v>3.07866295381744E-2</v>
      </c>
      <c r="BP3" s="3">
        <v>1.0556609111122099E-2</v>
      </c>
      <c r="BQ3" s="3">
        <v>1.02584912288993E-2</v>
      </c>
      <c r="BR3" s="9">
        <v>1.0852008195798801E-2</v>
      </c>
      <c r="BS3" s="9">
        <v>0</v>
      </c>
      <c r="BT3" s="9">
        <v>0</v>
      </c>
      <c r="BU3" s="9">
        <v>0</v>
      </c>
      <c r="BV3" s="9">
        <v>3.6365916465285501E-3</v>
      </c>
      <c r="BW3">
        <v>2.9820051501534099E-3</v>
      </c>
      <c r="BX3">
        <v>4.2911781429036903E-3</v>
      </c>
      <c r="BY3">
        <v>1.41932007576507E-2</v>
      </c>
      <c r="BZ3">
        <v>1.32404963790527E-2</v>
      </c>
      <c r="CA3">
        <v>1.51431863387025E-2</v>
      </c>
      <c r="CB3">
        <v>9.7644037516748591E-3</v>
      </c>
      <c r="CC3">
        <v>8.3854399285395297E-3</v>
      </c>
      <c r="CD3">
        <v>0.91418761553684302</v>
      </c>
      <c r="CE3">
        <v>46337</v>
      </c>
      <c r="CF3">
        <v>2.2746401363920799E-2</v>
      </c>
      <c r="CG3">
        <v>5.7166016317843201E-3</v>
      </c>
      <c r="CH3">
        <v>1.04334117443943E-2</v>
      </c>
      <c r="CI3">
        <v>1748.9514353822301</v>
      </c>
      <c r="CJ3">
        <v>1725.55101495547</v>
      </c>
      <c r="CK3">
        <v>1772.1384469213399</v>
      </c>
      <c r="CL3">
        <v>1748.9514353822301</v>
      </c>
      <c r="CM3">
        <v>1725.55101495547</v>
      </c>
      <c r="CN3">
        <v>1772.1384469213399</v>
      </c>
      <c r="CO3">
        <v>581.526691916299</v>
      </c>
      <c r="CP3">
        <v>525.98034385338894</v>
      </c>
      <c r="CQ3">
        <v>636.83440596753599</v>
      </c>
      <c r="CR3">
        <v>1146.7944340809599</v>
      </c>
      <c r="CS3">
        <v>1124.46238462263</v>
      </c>
      <c r="CT3">
        <v>1164.80260781892</v>
      </c>
      <c r="CU3">
        <v>102.446355766876</v>
      </c>
      <c r="CV3">
        <v>90.0650553292826</v>
      </c>
      <c r="CW3">
        <v>116.12022473019999</v>
      </c>
      <c r="CX3">
        <v>80.830065567047498</v>
      </c>
      <c r="CY3">
        <v>67.8304551578927</v>
      </c>
      <c r="CZ3">
        <v>96.340665180131097</v>
      </c>
      <c r="DA3">
        <v>29.6311572136986</v>
      </c>
      <c r="DB3">
        <v>14.0725628567393</v>
      </c>
      <c r="DC3">
        <v>50.834256026144097</v>
      </c>
      <c r="DD3">
        <v>0</v>
      </c>
      <c r="DE3">
        <v>0</v>
      </c>
      <c r="DF3">
        <v>0</v>
      </c>
      <c r="DG3">
        <v>0.75046893741995602</v>
      </c>
      <c r="DH3">
        <v>0.75046893741995602</v>
      </c>
      <c r="DI3">
        <v>0.24953106258004301</v>
      </c>
      <c r="DJ3">
        <v>0.47804738790729401</v>
      </c>
      <c r="DK3">
        <v>0.35556175783746202</v>
      </c>
      <c r="DL3">
        <v>1216.3991513777401</v>
      </c>
      <c r="DM3">
        <v>3.7558432013298999</v>
      </c>
      <c r="DN3">
        <v>1.69397782174511</v>
      </c>
      <c r="DO3">
        <v>1.14918517480515E-2</v>
      </c>
      <c r="DP3">
        <v>0.9</v>
      </c>
      <c r="DQ3">
        <v>17.326203208556102</v>
      </c>
      <c r="DR3">
        <v>3.6937902517610803E-2</v>
      </c>
      <c r="DS3">
        <v>-3.4139255131815101E-2</v>
      </c>
      <c r="DT3">
        <v>0</v>
      </c>
      <c r="DU3">
        <v>0</v>
      </c>
      <c r="DV3">
        <v>4.1260395098287397E-3</v>
      </c>
      <c r="DW3">
        <v>4.0346791376989098E-3</v>
      </c>
      <c r="DX3">
        <v>4.2281483911227498E-3</v>
      </c>
      <c r="DY3">
        <v>6.5124999847487302E-3</v>
      </c>
      <c r="DZ3">
        <v>7.4087833021432301E-3</v>
      </c>
      <c r="EA3">
        <v>5.6162166673542303E-3</v>
      </c>
    </row>
    <row r="4" spans="1:131" x14ac:dyDescent="0.2">
      <c r="A4" t="s">
        <v>21</v>
      </c>
      <c r="S4" s="9"/>
      <c r="T4" s="6"/>
      <c r="U4" s="6"/>
      <c r="V4" s="4"/>
      <c r="W4" s="7"/>
      <c r="X4" s="7"/>
      <c r="Y4" s="8"/>
      <c r="Z4" s="7"/>
      <c r="AA4" s="7"/>
      <c r="AB4" s="7"/>
      <c r="AI4" s="11"/>
      <c r="AJ4" s="4"/>
      <c r="AK4" s="6"/>
      <c r="AL4" s="6"/>
      <c r="AM4" s="11"/>
      <c r="AN4" s="2"/>
      <c r="AR4" s="3"/>
      <c r="AS4" s="2"/>
      <c r="AT4" s="2"/>
      <c r="AU4" s="2"/>
      <c r="AV4" s="2"/>
      <c r="AW4" s="2"/>
      <c r="AX4" s="2"/>
      <c r="AY4" s="3"/>
      <c r="AZ4" s="3"/>
      <c r="BA4" s="2"/>
      <c r="BB4" s="2"/>
      <c r="BC4" s="3"/>
      <c r="BD4" s="3"/>
      <c r="BE4" s="3"/>
      <c r="BF4" s="3"/>
      <c r="BG4" s="3"/>
      <c r="BH4" s="3"/>
      <c r="BI4" s="3"/>
      <c r="BK4" s="7"/>
      <c r="BL4" s="3"/>
      <c r="BM4" s="3"/>
      <c r="BN4" s="3"/>
      <c r="BO4" s="12"/>
      <c r="BP4" s="12"/>
      <c r="BQ4" s="12"/>
      <c r="BR4" s="9"/>
      <c r="BS4" s="9"/>
      <c r="BT4" s="9"/>
      <c r="BU4" s="9"/>
      <c r="BV4" s="9"/>
    </row>
    <row r="5" spans="1:131" x14ac:dyDescent="0.2">
      <c r="A5" t="s">
        <v>3</v>
      </c>
      <c r="S5" s="9"/>
      <c r="T5" s="6"/>
      <c r="U5" s="6"/>
      <c r="V5" s="4"/>
      <c r="W5" s="7"/>
      <c r="X5" s="7"/>
      <c r="Y5" s="8"/>
      <c r="Z5" s="7"/>
      <c r="AA5" s="7"/>
      <c r="AB5" s="7"/>
      <c r="AI5" s="11"/>
      <c r="AJ5" s="4"/>
      <c r="AK5" s="6"/>
      <c r="AL5" s="6"/>
      <c r="AM5" s="11"/>
      <c r="AN5" s="2"/>
      <c r="AR5" s="3"/>
      <c r="AS5" s="2"/>
      <c r="AT5" s="2"/>
      <c r="AU5" s="2"/>
      <c r="AV5" s="2"/>
      <c r="AW5" s="2"/>
      <c r="AX5" s="2"/>
      <c r="AY5" s="3"/>
      <c r="AZ5" s="3"/>
      <c r="BA5" s="2"/>
      <c r="BB5" s="2"/>
      <c r="BC5" s="3"/>
      <c r="BD5" s="3"/>
      <c r="BE5" s="3"/>
      <c r="BF5" s="3"/>
      <c r="BG5" s="3"/>
      <c r="BH5" s="3"/>
      <c r="BI5" s="3"/>
      <c r="BK5" s="7"/>
      <c r="BL5" s="3"/>
      <c r="BM5" s="3"/>
      <c r="BN5" s="3"/>
      <c r="BO5" s="12"/>
      <c r="BP5" s="12"/>
      <c r="BQ5" s="12"/>
      <c r="BR5" s="9"/>
      <c r="BS5" s="9"/>
      <c r="BT5" s="9"/>
      <c r="BU5" s="9"/>
      <c r="BV5" s="9"/>
    </row>
    <row r="6" spans="1:131" x14ac:dyDescent="0.2">
      <c r="A6" t="s">
        <v>4</v>
      </c>
      <c r="S6" s="9"/>
      <c r="T6" s="6"/>
      <c r="U6" s="6"/>
      <c r="V6" s="4"/>
      <c r="W6" s="7"/>
      <c r="X6" s="7"/>
      <c r="Y6" s="8"/>
      <c r="Z6" s="7"/>
      <c r="AA6" s="7"/>
      <c r="AB6" s="7"/>
      <c r="AI6" s="11"/>
      <c r="AJ6" s="4"/>
      <c r="AK6" s="6"/>
      <c r="AL6" s="6"/>
      <c r="AM6" s="11"/>
      <c r="AN6" s="2"/>
      <c r="AR6" s="3"/>
      <c r="AS6" s="2"/>
      <c r="AT6" s="2"/>
      <c r="AU6" s="2"/>
      <c r="AV6" s="2"/>
      <c r="AW6" s="2"/>
      <c r="AX6" s="2"/>
      <c r="AY6" s="3"/>
      <c r="AZ6" s="3"/>
      <c r="BA6" s="2"/>
      <c r="BB6" s="2"/>
      <c r="BC6" s="3"/>
      <c r="BD6" s="3"/>
      <c r="BE6" s="3"/>
      <c r="BF6" s="3"/>
      <c r="BG6" s="3"/>
      <c r="BH6" s="3"/>
      <c r="BI6" s="3"/>
      <c r="BK6" s="7"/>
      <c r="BL6" s="3"/>
      <c r="BM6" s="3"/>
      <c r="BN6" s="3"/>
      <c r="BO6" s="12"/>
      <c r="BP6" s="12"/>
      <c r="BQ6" s="12"/>
      <c r="BR6" s="9"/>
      <c r="BS6" s="9"/>
      <c r="BT6" s="9"/>
      <c r="BU6" s="9"/>
      <c r="BV6" s="9"/>
    </row>
    <row r="7" spans="1:131" x14ac:dyDescent="0.2">
      <c r="A7" t="s">
        <v>31</v>
      </c>
      <c r="S7" s="9"/>
      <c r="T7" s="6"/>
      <c r="U7" s="6"/>
      <c r="V7" s="4"/>
      <c r="W7" s="7"/>
      <c r="X7" s="7"/>
      <c r="Y7" s="8"/>
      <c r="Z7" s="7"/>
      <c r="AA7" s="7"/>
      <c r="AB7" s="7"/>
      <c r="AI7" s="11"/>
      <c r="AJ7" s="4"/>
      <c r="AK7" s="6"/>
      <c r="AL7" s="6"/>
      <c r="AM7" s="11"/>
      <c r="AN7" s="2"/>
      <c r="AR7" s="3"/>
      <c r="AS7" s="2"/>
      <c r="AT7" s="2"/>
      <c r="AU7" s="2"/>
      <c r="AV7" s="2"/>
      <c r="AW7" s="2"/>
      <c r="AX7" s="2"/>
      <c r="AY7" s="3"/>
      <c r="AZ7" s="3"/>
      <c r="BA7" s="2"/>
      <c r="BB7" s="2"/>
      <c r="BC7" s="3"/>
      <c r="BD7" s="3"/>
      <c r="BE7" s="3"/>
      <c r="BF7" s="3"/>
      <c r="BG7" s="3"/>
      <c r="BH7" s="3"/>
      <c r="BI7" s="3"/>
      <c r="BK7" s="7"/>
      <c r="BL7" s="3"/>
      <c r="BM7" s="3"/>
      <c r="BN7" s="3"/>
      <c r="BO7" s="12"/>
      <c r="BP7" s="12"/>
      <c r="BQ7" s="12"/>
      <c r="BR7" s="9"/>
      <c r="BS7" s="9"/>
      <c r="BT7" s="9"/>
      <c r="BU7" s="9"/>
      <c r="BV7" s="9"/>
    </row>
    <row r="8" spans="1:131" x14ac:dyDescent="0.2">
      <c r="A8" t="s">
        <v>32</v>
      </c>
      <c r="S8" s="9"/>
      <c r="T8" s="6"/>
      <c r="U8" s="6"/>
      <c r="V8" s="4"/>
      <c r="W8" s="7"/>
      <c r="X8" s="7"/>
      <c r="Y8" s="8"/>
      <c r="Z8" s="7"/>
      <c r="AA8" s="7"/>
      <c r="AB8" s="7"/>
      <c r="AI8" s="11"/>
      <c r="AJ8" s="4"/>
      <c r="AK8" s="6"/>
      <c r="AL8" s="6"/>
      <c r="AM8" s="11"/>
      <c r="AN8" s="2"/>
      <c r="AR8" s="3"/>
      <c r="AS8" s="2"/>
      <c r="AT8" s="2"/>
      <c r="AU8" s="2"/>
      <c r="AV8" s="2"/>
      <c r="AW8" s="2"/>
      <c r="AX8" s="2"/>
      <c r="AY8" s="3"/>
      <c r="AZ8" s="3"/>
      <c r="BA8" s="2"/>
      <c r="BB8" s="2"/>
      <c r="BC8" s="3"/>
      <c r="BD8" s="3"/>
      <c r="BE8" s="3"/>
      <c r="BF8" s="3"/>
      <c r="BG8" s="3"/>
      <c r="BH8" s="3"/>
      <c r="BI8" s="3"/>
      <c r="BK8" s="7"/>
      <c r="BL8" s="3"/>
      <c r="BM8" s="3"/>
      <c r="BN8" s="3"/>
      <c r="BO8" s="12"/>
      <c r="BP8" s="12"/>
      <c r="BQ8" s="12"/>
      <c r="BR8" s="9"/>
      <c r="BS8" s="9"/>
      <c r="BT8" s="9"/>
      <c r="BU8" s="9"/>
      <c r="BV8" s="9"/>
    </row>
    <row r="9" spans="1:131" x14ac:dyDescent="0.2">
      <c r="A9" t="s">
        <v>8</v>
      </c>
      <c r="S9" s="9"/>
      <c r="T9" s="6"/>
      <c r="U9" s="6"/>
      <c r="V9" s="4"/>
      <c r="W9" s="7"/>
      <c r="X9" s="7"/>
      <c r="Y9" s="8"/>
      <c r="Z9" s="7"/>
      <c r="AA9" s="7"/>
      <c r="AB9" s="7"/>
      <c r="AI9" s="11"/>
      <c r="AJ9" s="4"/>
      <c r="AK9" s="6"/>
      <c r="AL9" s="6"/>
      <c r="AM9" s="11"/>
      <c r="AN9" s="2"/>
      <c r="AR9" s="3"/>
      <c r="AS9" s="2"/>
      <c r="AT9" s="2"/>
      <c r="AU9" s="2"/>
      <c r="AV9" s="2"/>
      <c r="AW9" s="2"/>
      <c r="AX9" s="2"/>
      <c r="AY9" s="3"/>
      <c r="AZ9" s="3"/>
      <c r="BA9" s="2"/>
      <c r="BB9" s="2"/>
      <c r="BC9" s="3"/>
      <c r="BD9" s="3"/>
      <c r="BE9" s="3"/>
      <c r="BF9" s="3"/>
      <c r="BG9" s="3"/>
      <c r="BH9" s="3"/>
      <c r="BI9" s="3"/>
      <c r="BK9" s="7"/>
      <c r="BL9" s="3"/>
      <c r="BM9" s="3"/>
      <c r="BN9" s="3"/>
      <c r="BO9" s="12"/>
      <c r="BP9" s="12"/>
      <c r="BQ9" s="12"/>
      <c r="BR9" s="9"/>
      <c r="BS9" s="9"/>
      <c r="BT9" s="9"/>
      <c r="BU9" s="9"/>
      <c r="BV9" s="9"/>
    </row>
    <row r="10" spans="1:131" x14ac:dyDescent="0.2">
      <c r="A10" t="s">
        <v>6</v>
      </c>
      <c r="S10" s="9"/>
      <c r="T10" s="6"/>
      <c r="U10" s="6"/>
      <c r="V10" s="4"/>
      <c r="W10" s="7"/>
      <c r="X10" s="7"/>
      <c r="Y10" s="8"/>
      <c r="Z10" s="7"/>
      <c r="AA10" s="7"/>
      <c r="AB10" s="7"/>
      <c r="AI10" s="11"/>
      <c r="AJ10" s="4"/>
      <c r="AK10" s="6"/>
      <c r="AL10" s="6"/>
      <c r="AM10" s="11"/>
      <c r="AN10" s="2"/>
      <c r="AR10" s="3"/>
      <c r="AS10" s="2"/>
      <c r="AT10" s="2"/>
      <c r="AU10" s="2"/>
      <c r="AV10" s="2"/>
      <c r="AW10" s="2"/>
      <c r="AX10" s="2"/>
      <c r="AY10" s="3"/>
      <c r="AZ10" s="3"/>
      <c r="BA10" s="2"/>
      <c r="BB10" s="2"/>
      <c r="BC10" s="3"/>
      <c r="BD10" s="3"/>
      <c r="BE10" s="3"/>
      <c r="BF10" s="3"/>
      <c r="BG10" s="3"/>
      <c r="BH10" s="3"/>
      <c r="BI10" s="3"/>
      <c r="BK10" s="7"/>
      <c r="BL10" s="3"/>
      <c r="BM10" s="3"/>
      <c r="BN10" s="3"/>
      <c r="BO10" s="12"/>
      <c r="BP10" s="12"/>
      <c r="BQ10" s="12"/>
      <c r="BR10" s="9"/>
      <c r="BS10" s="9"/>
      <c r="BT10" s="9"/>
      <c r="BU10" s="9"/>
      <c r="BV10" s="9"/>
    </row>
    <row r="11" spans="1:131" x14ac:dyDescent="0.2">
      <c r="A11" t="s">
        <v>5</v>
      </c>
      <c r="S11" s="9"/>
      <c r="T11" s="6"/>
      <c r="U11" s="6"/>
      <c r="V11" s="4"/>
      <c r="W11" s="7"/>
      <c r="X11" s="7"/>
      <c r="Y11" s="8"/>
      <c r="Z11" s="7"/>
      <c r="AA11" s="7"/>
      <c r="AB11" s="7"/>
      <c r="AI11" s="11"/>
      <c r="AJ11" s="4"/>
      <c r="AK11" s="6"/>
      <c r="AL11" s="6"/>
      <c r="AM11" s="11"/>
      <c r="AN11" s="2"/>
      <c r="AR11" s="3"/>
      <c r="AS11" s="2"/>
      <c r="AT11" s="2"/>
      <c r="AU11" s="2"/>
      <c r="AV11" s="2"/>
      <c r="AW11" s="2"/>
      <c r="AX11" s="2"/>
      <c r="AY11" s="3"/>
      <c r="AZ11" s="3"/>
      <c r="BA11" s="2"/>
      <c r="BB11" s="2"/>
      <c r="BC11" s="3"/>
      <c r="BD11" s="3"/>
      <c r="BE11" s="3"/>
      <c r="BF11" s="3"/>
      <c r="BG11" s="3"/>
      <c r="BH11" s="3"/>
      <c r="BI11" s="3"/>
      <c r="BK11" s="7"/>
      <c r="BL11" s="3"/>
      <c r="BM11" s="3"/>
      <c r="BN11" s="3"/>
      <c r="BO11" s="12"/>
      <c r="BP11" s="12"/>
      <c r="BQ11" s="12"/>
      <c r="BR11" s="9"/>
      <c r="BS11" s="9"/>
      <c r="BT11" s="9"/>
      <c r="BU11" s="9"/>
      <c r="BV11" s="9"/>
    </row>
    <row r="12" spans="1:131" x14ac:dyDescent="0.2">
      <c r="A12" t="s">
        <v>7</v>
      </c>
      <c r="S12" s="9"/>
      <c r="T12" s="6"/>
      <c r="U12" s="6"/>
      <c r="V12" s="4"/>
      <c r="W12" s="7"/>
      <c r="X12" s="7"/>
      <c r="Y12" s="8"/>
      <c r="Z12" s="7"/>
      <c r="AA12" s="7"/>
      <c r="AB12" s="7"/>
      <c r="AI12" s="11"/>
      <c r="AJ12" s="4"/>
      <c r="AK12" s="6"/>
      <c r="AL12" s="6"/>
      <c r="AM12" s="11"/>
      <c r="AN12" s="2"/>
      <c r="AR12" s="3"/>
      <c r="AS12" s="2"/>
      <c r="AT12" s="2"/>
      <c r="AU12" s="2"/>
      <c r="AV12" s="2"/>
      <c r="AW12" s="2"/>
      <c r="AX12" s="2"/>
      <c r="AY12" s="3"/>
      <c r="AZ12" s="3"/>
      <c r="BA12" s="2"/>
      <c r="BB12" s="2"/>
      <c r="BC12" s="3"/>
      <c r="BD12" s="3"/>
      <c r="BE12" s="3"/>
      <c r="BF12" s="3"/>
      <c r="BG12" s="3"/>
      <c r="BH12" s="3"/>
      <c r="BI12" s="3"/>
      <c r="BK12" s="7"/>
      <c r="BL12" s="3"/>
      <c r="BM12" s="3"/>
      <c r="BN12" s="3"/>
      <c r="BO12" s="12"/>
      <c r="BP12" s="12"/>
      <c r="BQ12" s="12"/>
      <c r="BR12" s="9"/>
      <c r="BS12" s="9"/>
      <c r="BT12" s="9"/>
      <c r="BU12" s="9"/>
      <c r="BV12" s="9"/>
    </row>
    <row r="13" spans="1:131" x14ac:dyDescent="0.2">
      <c r="A13" t="s">
        <v>10</v>
      </c>
      <c r="S13" s="9"/>
      <c r="T13" s="6"/>
      <c r="U13" s="6"/>
      <c r="V13" s="4"/>
      <c r="W13" s="7"/>
      <c r="X13" s="7"/>
      <c r="Y13" s="8"/>
      <c r="Z13" s="7"/>
      <c r="AA13" s="7"/>
      <c r="AB13" s="7"/>
      <c r="AI13" s="11"/>
      <c r="AJ13" s="4"/>
      <c r="AK13" s="6"/>
      <c r="AL13" s="6"/>
      <c r="AM13" s="11"/>
      <c r="AN13" s="2"/>
      <c r="AR13" s="3"/>
      <c r="AS13" s="2"/>
      <c r="AT13" s="2"/>
      <c r="AU13" s="2"/>
      <c r="AV13" s="2"/>
      <c r="AW13" s="2"/>
      <c r="AX13" s="2"/>
      <c r="AY13" s="3"/>
      <c r="AZ13" s="3"/>
      <c r="BA13" s="2"/>
      <c r="BB13" s="2"/>
      <c r="BC13" s="3"/>
      <c r="BD13" s="3"/>
      <c r="BE13" s="3"/>
      <c r="BF13" s="3"/>
      <c r="BG13" s="3"/>
      <c r="BH13" s="3"/>
      <c r="BI13" s="3"/>
      <c r="BK13" s="7"/>
      <c r="BL13" s="3"/>
      <c r="BM13" s="3"/>
      <c r="BN13" s="3"/>
      <c r="BO13" s="12"/>
      <c r="BP13" s="12"/>
      <c r="BQ13" s="12"/>
      <c r="BR13" s="9"/>
      <c r="BS13" s="9"/>
      <c r="BT13" s="9"/>
      <c r="BU13" s="9"/>
      <c r="BV13" s="9"/>
    </row>
    <row r="14" spans="1:131" x14ac:dyDescent="0.2">
      <c r="A14" t="s">
        <v>9</v>
      </c>
      <c r="S14" s="9"/>
      <c r="T14" s="6"/>
      <c r="U14" s="6"/>
      <c r="V14" s="4"/>
      <c r="W14" s="7"/>
      <c r="X14" s="7"/>
      <c r="Y14" s="8"/>
      <c r="Z14" s="7"/>
      <c r="AA14" s="7"/>
      <c r="AB14" s="7"/>
      <c r="AI14" s="11"/>
      <c r="AJ14" s="4"/>
      <c r="AK14" s="6"/>
      <c r="AL14" s="6"/>
      <c r="AM14" s="11"/>
      <c r="AN14" s="2"/>
      <c r="AR14" s="3"/>
      <c r="AS14" s="2"/>
      <c r="AT14" s="2"/>
      <c r="AU14" s="2"/>
      <c r="AV14" s="2"/>
      <c r="AW14" s="2"/>
      <c r="AX14" s="2"/>
      <c r="AY14" s="3"/>
      <c r="AZ14" s="3"/>
      <c r="BA14" s="2"/>
      <c r="BB14" s="2"/>
      <c r="BC14" s="3"/>
      <c r="BD14" s="3"/>
      <c r="BE14" s="3"/>
      <c r="BF14" s="3"/>
      <c r="BG14" s="3"/>
      <c r="BH14" s="3"/>
      <c r="BI14" s="3"/>
      <c r="BK14" s="7"/>
      <c r="BL14" s="3"/>
      <c r="BM14" s="3"/>
      <c r="BN14" s="3"/>
      <c r="BO14" s="12"/>
      <c r="BP14" s="12"/>
      <c r="BQ14" s="12"/>
      <c r="BR14" s="9"/>
      <c r="BS14" s="9"/>
      <c r="BT14" s="9"/>
      <c r="BU14" s="9"/>
      <c r="BV14" s="9"/>
    </row>
    <row r="15" spans="1:131" x14ac:dyDescent="0.2">
      <c r="A15" t="s">
        <v>11</v>
      </c>
      <c r="S15" s="9"/>
      <c r="T15" s="6"/>
      <c r="U15" s="6"/>
      <c r="V15" s="4"/>
      <c r="W15" s="7"/>
      <c r="X15" s="7"/>
      <c r="Y15" s="8"/>
      <c r="Z15" s="7"/>
      <c r="AA15" s="7"/>
      <c r="AB15" s="7"/>
      <c r="AI15" s="11"/>
      <c r="AJ15" s="4"/>
      <c r="AK15" s="6"/>
      <c r="AL15" s="6"/>
      <c r="AM15" s="11"/>
      <c r="AN15" s="2"/>
      <c r="AR15" s="3"/>
      <c r="AS15" s="2"/>
      <c r="AT15" s="2"/>
      <c r="AU15" s="2"/>
      <c r="AV15" s="2"/>
      <c r="AW15" s="2"/>
      <c r="AX15" s="2"/>
      <c r="AY15" s="3"/>
      <c r="AZ15" s="3"/>
      <c r="BA15" s="2"/>
      <c r="BB15" s="2"/>
      <c r="BC15" s="3"/>
      <c r="BD15" s="3"/>
      <c r="BE15" s="3"/>
      <c r="BF15" s="3"/>
      <c r="BG15" s="3"/>
      <c r="BH15" s="3"/>
      <c r="BI15" s="3"/>
      <c r="BK15" s="7"/>
      <c r="BL15" s="3"/>
      <c r="BM15" s="3"/>
      <c r="BN15" s="3"/>
      <c r="BO15" s="12"/>
      <c r="BP15" s="12"/>
      <c r="BQ15" s="12"/>
      <c r="BR15" s="9"/>
      <c r="BS15" s="9"/>
      <c r="BT15" s="9"/>
      <c r="BU15" s="9"/>
      <c r="BV15" s="9"/>
    </row>
    <row r="16" spans="1:131" x14ac:dyDescent="0.2">
      <c r="A16" t="s">
        <v>12</v>
      </c>
      <c r="S16" s="9"/>
      <c r="U16" s="6"/>
      <c r="AI16" s="11"/>
      <c r="AJ16" s="4"/>
      <c r="AK16" s="6"/>
      <c r="AL16" s="6"/>
      <c r="AM16" s="11"/>
      <c r="AN16" s="2"/>
      <c r="AR16" s="3"/>
      <c r="AS16" s="2"/>
      <c r="AT16" s="2"/>
      <c r="AU16" s="2"/>
      <c r="AV16" s="2"/>
      <c r="AW16" s="2"/>
      <c r="AX16" s="2"/>
      <c r="AY16" s="3"/>
      <c r="AZ16" s="3"/>
      <c r="BA16" s="2"/>
      <c r="BB16" s="2"/>
      <c r="BC16" s="3"/>
      <c r="BD16" s="3"/>
      <c r="BE16" s="3"/>
      <c r="BF16" s="3"/>
      <c r="BG16" s="3"/>
      <c r="BH16" s="3"/>
      <c r="BI16" s="3"/>
      <c r="BK16" s="7"/>
      <c r="BL16" s="3"/>
      <c r="BM16" s="3"/>
      <c r="BN16" s="3"/>
      <c r="BO16" s="12"/>
      <c r="BP16" s="12"/>
      <c r="BQ16" s="12"/>
      <c r="BR16" s="9"/>
      <c r="BS16" s="9"/>
      <c r="BT16" s="9"/>
      <c r="BU16" s="9"/>
      <c r="BV16" s="9"/>
    </row>
    <row r="17" spans="1:74" x14ac:dyDescent="0.2">
      <c r="A17" t="s">
        <v>13</v>
      </c>
      <c r="S17" s="9"/>
      <c r="T17" s="6"/>
      <c r="U17" s="6"/>
      <c r="V17" s="4"/>
      <c r="W17" s="7"/>
      <c r="X17" s="7"/>
      <c r="Y17" s="8"/>
      <c r="Z17" s="7"/>
      <c r="AA17" s="7"/>
      <c r="AB17" s="7"/>
      <c r="AI17" s="11"/>
      <c r="AJ17" s="4"/>
      <c r="AK17" s="6"/>
      <c r="AL17" s="6"/>
      <c r="AM17" s="11"/>
      <c r="AN17" s="2"/>
      <c r="AR17" s="3"/>
      <c r="AS17" s="2"/>
      <c r="AT17" s="2"/>
      <c r="AU17" s="2"/>
      <c r="AV17" s="2"/>
      <c r="AW17" s="2"/>
      <c r="AX17" s="2"/>
      <c r="AY17" s="3"/>
      <c r="AZ17" s="3"/>
      <c r="BA17" s="2"/>
      <c r="BB17" s="2"/>
      <c r="BC17" s="3"/>
      <c r="BD17" s="3"/>
      <c r="BE17" s="3"/>
      <c r="BF17" s="3"/>
      <c r="BG17" s="3"/>
      <c r="BH17" s="3"/>
      <c r="BI17" s="3"/>
      <c r="BK17" s="7"/>
      <c r="BL17" s="3"/>
      <c r="BM17" s="3"/>
      <c r="BN17" s="3"/>
      <c r="BO17" s="12"/>
      <c r="BP17" s="12"/>
      <c r="BQ17" s="12"/>
      <c r="BR17" s="9"/>
      <c r="BS17" s="9"/>
      <c r="BT17" s="9"/>
      <c r="BU17" s="9"/>
      <c r="BV17" s="9"/>
    </row>
    <row r="18" spans="1:74" x14ac:dyDescent="0.2">
      <c r="A18" t="s">
        <v>46</v>
      </c>
      <c r="S18" s="9"/>
      <c r="U18" s="6"/>
      <c r="AI18" s="11"/>
      <c r="AJ18" s="4"/>
      <c r="AK18" s="6"/>
      <c r="AL18" s="6"/>
      <c r="AM18" s="11"/>
      <c r="AN18" s="2"/>
      <c r="AR18" s="3"/>
      <c r="AS18" s="2"/>
      <c r="AT18" s="2"/>
      <c r="AU18" s="2"/>
      <c r="AV18" s="2"/>
      <c r="AW18" s="2"/>
      <c r="AX18" s="2"/>
      <c r="AY18" s="3"/>
      <c r="AZ18" s="3"/>
      <c r="BA18" s="2"/>
      <c r="BB18" s="2"/>
      <c r="BC18" s="3"/>
      <c r="BD18" s="3"/>
      <c r="BE18" s="3"/>
      <c r="BF18" s="3"/>
      <c r="BG18" s="3"/>
      <c r="BH18" s="3"/>
      <c r="BI18" s="3"/>
      <c r="BK18" s="7"/>
      <c r="BL18" s="3"/>
      <c r="BM18" s="3"/>
      <c r="BN18" s="3"/>
      <c r="BO18" s="12"/>
      <c r="BP18" s="12"/>
      <c r="BQ18" s="12"/>
      <c r="BR18" s="9"/>
      <c r="BS18" s="9"/>
      <c r="BT18" s="9"/>
      <c r="BU18" s="9"/>
      <c r="BV18" s="9"/>
    </row>
    <row r="19" spans="1:74" x14ac:dyDescent="0.2">
      <c r="A19" t="s">
        <v>48</v>
      </c>
      <c r="S19" s="9"/>
      <c r="U19" s="6"/>
      <c r="W19" s="10"/>
      <c r="X19" s="10"/>
      <c r="AI19" s="11"/>
      <c r="AJ19" s="4"/>
      <c r="AK19" s="6"/>
      <c r="AL19" s="6"/>
      <c r="AM19" s="11"/>
      <c r="AN19" s="2"/>
      <c r="AR19" s="3"/>
      <c r="AS19" s="2"/>
      <c r="AT19" s="2"/>
      <c r="AU19" s="2"/>
      <c r="AV19" s="2"/>
      <c r="AW19" s="2"/>
      <c r="AX19" s="2"/>
      <c r="AY19" s="3"/>
      <c r="AZ19" s="3"/>
      <c r="BA19" s="2"/>
      <c r="BB19" s="2"/>
      <c r="BC19" s="3"/>
      <c r="BD19" s="3"/>
      <c r="BE19" s="3"/>
      <c r="BF19" s="3"/>
      <c r="BG19" s="3"/>
      <c r="BH19" s="3"/>
      <c r="BI19" s="3"/>
      <c r="BK19" s="7"/>
      <c r="BL19" s="3"/>
      <c r="BM19" s="3"/>
      <c r="BN19" s="3"/>
      <c r="BO19" s="12"/>
      <c r="BP19" s="12"/>
      <c r="BQ19" s="12"/>
      <c r="BR19" s="9"/>
      <c r="BS19" s="9"/>
      <c r="BT19" s="9"/>
      <c r="BU19" s="9"/>
      <c r="BV19" s="9"/>
    </row>
    <row r="20" spans="1:74" x14ac:dyDescent="0.2">
      <c r="A20" t="s">
        <v>49</v>
      </c>
      <c r="S20" s="9"/>
      <c r="U20" s="6"/>
      <c r="AI20" s="11"/>
      <c r="AJ20" s="4"/>
      <c r="AK20" s="6"/>
      <c r="AL20" s="6"/>
      <c r="AM20" s="11"/>
      <c r="AN20" s="2"/>
      <c r="AR20" s="3"/>
      <c r="AS20" s="2"/>
      <c r="AT20" s="2"/>
      <c r="AU20" s="2"/>
      <c r="AV20" s="2"/>
      <c r="AW20" s="2"/>
      <c r="AX20" s="2"/>
      <c r="AY20" s="3"/>
      <c r="AZ20" s="3"/>
      <c r="BA20" s="2"/>
      <c r="BB20" s="2"/>
      <c r="BC20" s="3"/>
      <c r="BD20" s="3"/>
      <c r="BE20" s="3"/>
      <c r="BF20" s="3"/>
      <c r="BG20" s="3"/>
      <c r="BH20" s="3"/>
      <c r="BI20" s="3"/>
      <c r="BK20" s="7"/>
      <c r="BL20" s="3"/>
      <c r="BM20" s="3"/>
      <c r="BN20" s="3"/>
      <c r="BO20" s="12"/>
      <c r="BP20" s="12"/>
      <c r="BQ20" s="12"/>
      <c r="BR20" s="9"/>
      <c r="BS20" s="9"/>
      <c r="BT20" s="9"/>
      <c r="BU20" s="9"/>
      <c r="BV20" s="9"/>
    </row>
    <row r="21" spans="1:74" x14ac:dyDescent="0.2">
      <c r="A21" t="s">
        <v>74</v>
      </c>
      <c r="U21" s="4"/>
      <c r="V21" s="7"/>
      <c r="AI21" s="11"/>
      <c r="AJ21" s="4"/>
      <c r="AK21" s="6"/>
      <c r="AL21" s="6"/>
      <c r="AM21" s="6"/>
      <c r="AN21" s="6"/>
      <c r="AR21" s="3"/>
      <c r="AS21" s="2"/>
      <c r="AT21" s="2"/>
      <c r="AU21" s="2"/>
      <c r="AV21" s="2"/>
      <c r="AW21" s="2"/>
      <c r="AX21" s="2"/>
      <c r="AY21" s="3"/>
      <c r="AZ21" s="3"/>
      <c r="BA21" s="2"/>
      <c r="BB21" s="2"/>
      <c r="BC21" s="3"/>
      <c r="BD21" s="3"/>
      <c r="BE21" s="3"/>
      <c r="BF21" s="3"/>
      <c r="BG21" s="3"/>
      <c r="BH21" s="3"/>
      <c r="BI21" s="3"/>
      <c r="BK21" s="7"/>
      <c r="BL21" s="3"/>
      <c r="BM21" s="3"/>
      <c r="BN21" s="3"/>
    </row>
    <row r="22" spans="1:74" x14ac:dyDescent="0.2">
      <c r="A22" t="s">
        <v>51</v>
      </c>
      <c r="V22" s="10">
        <f>V17+V4+V15+V13+V7+V3</f>
        <v>2250.9173364615199</v>
      </c>
      <c r="W22" s="10">
        <f>W17+W4+W15+W13+W7+W3</f>
        <v>2416.5610910177302</v>
      </c>
      <c r="X22" s="10">
        <f>SUM(X2:X17)</f>
        <v>1000</v>
      </c>
      <c r="AC22" s="10">
        <f>AC17+AC4+AC15+AC13+AC7+AC3</f>
        <v>84570</v>
      </c>
      <c r="AD22" s="10"/>
      <c r="AE22" s="10"/>
      <c r="AI22" s="11"/>
      <c r="AJ22" s="10"/>
      <c r="BK22" s="10"/>
      <c r="BN22" s="3"/>
      <c r="BO22" s="3"/>
      <c r="BP22" s="12"/>
      <c r="BQ22" s="12"/>
      <c r="BR22" s="12"/>
      <c r="BS22" s="12"/>
      <c r="BT22" s="12"/>
      <c r="BU22" s="12"/>
      <c r="BV22" s="12"/>
    </row>
    <row r="23" spans="1:74" x14ac:dyDescent="0.2">
      <c r="A23" t="s">
        <v>52</v>
      </c>
      <c r="AC23">
        <f>SUM(AC2:AC17)</f>
        <v>84570</v>
      </c>
      <c r="AI23" s="11"/>
      <c r="AJ23" s="4"/>
      <c r="BK23" s="10"/>
      <c r="BN23" s="3"/>
      <c r="BO23" s="3"/>
      <c r="BP23" s="12"/>
      <c r="BQ23" s="12"/>
      <c r="BR23" s="12"/>
      <c r="BS23" s="12"/>
      <c r="BT23" s="12"/>
      <c r="BU23" s="12"/>
      <c r="BV23" s="12"/>
    </row>
    <row r="24" spans="1:74" x14ac:dyDescent="0.2">
      <c r="U24" t="s">
        <v>83</v>
      </c>
      <c r="V24" s="14">
        <f>V22/V25</f>
        <v>2.6395484928697158E-2</v>
      </c>
      <c r="BP24" s="13"/>
      <c r="BQ24" s="13"/>
      <c r="BR24" s="13"/>
      <c r="BS24" s="13"/>
      <c r="BT24" s="13"/>
      <c r="BU24" s="13"/>
      <c r="BV24" s="13"/>
    </row>
    <row r="25" spans="1:74" x14ac:dyDescent="0.2">
      <c r="U25" t="s">
        <v>84</v>
      </c>
      <c r="V25">
        <v>85276.604788356199</v>
      </c>
      <c r="BP25" s="13"/>
      <c r="BQ25" s="13"/>
      <c r="BR25" s="13"/>
      <c r="BS25" s="13"/>
      <c r="BT25" s="13"/>
      <c r="BU25" s="13"/>
      <c r="BV25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57D5C-511D-1C41-8C5C-1AA8ED32F13E}">
  <dimension ref="A1:EA25"/>
  <sheetViews>
    <sheetView workbookViewId="0">
      <pane xSplit="1" ySplit="1" topLeftCell="U2" activePane="bottomRight" state="frozen"/>
      <selection pane="topRight" activeCell="B1" sqref="B1"/>
      <selection pane="bottomLeft" activeCell="A2" sqref="A2"/>
      <selection pane="bottomRight" activeCell="AL1" sqref="AL1"/>
    </sheetView>
  </sheetViews>
  <sheetFormatPr baseColWidth="10" defaultRowHeight="16" x14ac:dyDescent="0.2"/>
  <cols>
    <col min="1" max="1" width="22" customWidth="1"/>
  </cols>
  <sheetData>
    <row r="1" spans="1:131" x14ac:dyDescent="0.2">
      <c r="A1" t="s">
        <v>106</v>
      </c>
      <c r="B1" t="s">
        <v>18</v>
      </c>
      <c r="C1" t="s">
        <v>141</v>
      </c>
      <c r="D1" t="s">
        <v>142</v>
      </c>
      <c r="E1" t="s">
        <v>19</v>
      </c>
      <c r="F1" t="s">
        <v>143</v>
      </c>
      <c r="G1" t="s">
        <v>144</v>
      </c>
      <c r="H1" t="s">
        <v>20</v>
      </c>
      <c r="I1" t="s">
        <v>197</v>
      </c>
      <c r="J1" t="s">
        <v>198</v>
      </c>
      <c r="K1" t="s">
        <v>145</v>
      </c>
      <c r="L1" t="s">
        <v>146</v>
      </c>
      <c r="M1" t="s">
        <v>147</v>
      </c>
      <c r="N1" t="s">
        <v>53</v>
      </c>
      <c r="O1" t="s">
        <v>54</v>
      </c>
      <c r="P1" t="s">
        <v>69</v>
      </c>
      <c r="Q1" t="s">
        <v>70</v>
      </c>
      <c r="R1" t="s">
        <v>71</v>
      </c>
      <c r="S1" t="s">
        <v>67</v>
      </c>
      <c r="T1" t="s">
        <v>72</v>
      </c>
      <c r="U1" t="s">
        <v>55</v>
      </c>
      <c r="V1" t="s">
        <v>56</v>
      </c>
      <c r="W1" t="s">
        <v>57</v>
      </c>
      <c r="X1" t="s">
        <v>14</v>
      </c>
      <c r="Y1" t="s">
        <v>86</v>
      </c>
      <c r="Z1" t="s">
        <v>15</v>
      </c>
      <c r="AA1" t="s">
        <v>25</v>
      </c>
      <c r="AB1" t="s">
        <v>26</v>
      </c>
      <c r="AC1" t="s">
        <v>33</v>
      </c>
      <c r="AD1" t="s">
        <v>34</v>
      </c>
      <c r="AE1" t="s">
        <v>40</v>
      </c>
      <c r="AF1" t="s">
        <v>60</v>
      </c>
      <c r="AG1" t="s">
        <v>61</v>
      </c>
      <c r="AH1" t="s">
        <v>62</v>
      </c>
      <c r="AI1" t="s">
        <v>63</v>
      </c>
      <c r="AJ1" t="s">
        <v>64</v>
      </c>
      <c r="AK1" t="s">
        <v>65</v>
      </c>
      <c r="AM1" t="s">
        <v>22</v>
      </c>
      <c r="AN1" t="s">
        <v>35</v>
      </c>
      <c r="AO1" t="s">
        <v>38</v>
      </c>
      <c r="AP1" t="s">
        <v>148</v>
      </c>
      <c r="AQ1" t="s">
        <v>50</v>
      </c>
      <c r="AR1" t="s">
        <v>149</v>
      </c>
      <c r="AS1" t="s">
        <v>88</v>
      </c>
      <c r="AT1" t="s">
        <v>87</v>
      </c>
      <c r="AU1" t="s">
        <v>150</v>
      </c>
      <c r="AV1" t="s">
        <v>151</v>
      </c>
      <c r="AW1" t="s">
        <v>152</v>
      </c>
      <c r="AX1" t="s">
        <v>153</v>
      </c>
      <c r="AY1" s="1" t="s">
        <v>154</v>
      </c>
      <c r="AZ1" s="1" t="s">
        <v>155</v>
      </c>
      <c r="BA1" t="s">
        <v>156</v>
      </c>
      <c r="BB1" t="s">
        <v>157</v>
      </c>
      <c r="BC1" t="s">
        <v>58</v>
      </c>
      <c r="BD1" t="s">
        <v>59</v>
      </c>
      <c r="BE1" t="s">
        <v>16</v>
      </c>
      <c r="BF1" t="s">
        <v>158</v>
      </c>
      <c r="BG1" t="s">
        <v>159</v>
      </c>
      <c r="BH1" t="s">
        <v>85</v>
      </c>
      <c r="BI1" t="s">
        <v>160</v>
      </c>
      <c r="BJ1" t="s">
        <v>161</v>
      </c>
      <c r="BK1" t="s">
        <v>17</v>
      </c>
      <c r="BL1" t="s">
        <v>42</v>
      </c>
      <c r="BM1" t="s">
        <v>43</v>
      </c>
      <c r="BN1" t="s">
        <v>44</v>
      </c>
      <c r="BO1" t="s">
        <v>45</v>
      </c>
      <c r="BP1" t="s">
        <v>162</v>
      </c>
      <c r="BQ1" t="s">
        <v>163</v>
      </c>
      <c r="BR1" t="s">
        <v>164</v>
      </c>
      <c r="BS1" t="s">
        <v>68</v>
      </c>
      <c r="BT1" t="s">
        <v>165</v>
      </c>
      <c r="BU1" t="s">
        <v>166</v>
      </c>
      <c r="BV1" t="s">
        <v>73</v>
      </c>
      <c r="BW1" t="s">
        <v>167</v>
      </c>
      <c r="BX1" t="s">
        <v>168</v>
      </c>
      <c r="BY1" t="s">
        <v>169</v>
      </c>
      <c r="BZ1" t="s">
        <v>170</v>
      </c>
      <c r="CA1" t="s">
        <v>171</v>
      </c>
      <c r="CB1" t="s">
        <v>172</v>
      </c>
      <c r="CC1" t="s">
        <v>173</v>
      </c>
      <c r="CD1" t="s">
        <v>23</v>
      </c>
      <c r="CE1" t="s">
        <v>174</v>
      </c>
      <c r="CF1" t="s">
        <v>175</v>
      </c>
      <c r="CG1" t="s">
        <v>39</v>
      </c>
      <c r="CH1" t="s">
        <v>41</v>
      </c>
      <c r="CI1" t="s">
        <v>79</v>
      </c>
      <c r="CJ1" t="s">
        <v>176</v>
      </c>
      <c r="CK1" t="s">
        <v>177</v>
      </c>
      <c r="CL1" t="s">
        <v>76</v>
      </c>
      <c r="CM1" t="s">
        <v>178</v>
      </c>
      <c r="CN1" t="s">
        <v>179</v>
      </c>
      <c r="CO1" t="s">
        <v>22</v>
      </c>
      <c r="CP1" t="s">
        <v>180</v>
      </c>
      <c r="CQ1" t="s">
        <v>181</v>
      </c>
      <c r="CR1" t="s">
        <v>182</v>
      </c>
      <c r="CS1" t="s">
        <v>183</v>
      </c>
      <c r="CT1" t="s">
        <v>184</v>
      </c>
      <c r="CU1" t="s">
        <v>185</v>
      </c>
      <c r="CV1" t="s">
        <v>186</v>
      </c>
      <c r="CW1" t="s">
        <v>187</v>
      </c>
      <c r="CX1" t="s">
        <v>188</v>
      </c>
      <c r="CY1" t="s">
        <v>189</v>
      </c>
      <c r="CZ1" t="s">
        <v>190</v>
      </c>
      <c r="DA1" t="s">
        <v>191</v>
      </c>
      <c r="DB1" t="s">
        <v>192</v>
      </c>
      <c r="DC1" t="s">
        <v>193</v>
      </c>
      <c r="DD1" t="s">
        <v>194</v>
      </c>
      <c r="DE1" t="s">
        <v>195</v>
      </c>
      <c r="DF1" t="s">
        <v>196</v>
      </c>
      <c r="DG1" t="s">
        <v>80</v>
      </c>
      <c r="DH1" t="s">
        <v>77</v>
      </c>
      <c r="DI1" t="s">
        <v>78</v>
      </c>
      <c r="DJ1" t="s">
        <v>81</v>
      </c>
      <c r="DK1" t="s">
        <v>82</v>
      </c>
      <c r="DL1" t="s">
        <v>75</v>
      </c>
      <c r="DM1" t="s">
        <v>24</v>
      </c>
      <c r="DN1" t="s">
        <v>27</v>
      </c>
      <c r="DO1" t="s">
        <v>116</v>
      </c>
      <c r="DP1" t="s">
        <v>119</v>
      </c>
      <c r="DQ1" t="s">
        <v>120</v>
      </c>
      <c r="DR1" t="s">
        <v>135</v>
      </c>
      <c r="DS1" t="s">
        <v>136</v>
      </c>
      <c r="DT1" t="s">
        <v>137</v>
      </c>
      <c r="DU1" t="s">
        <v>138</v>
      </c>
      <c r="DV1" t="s">
        <v>223</v>
      </c>
      <c r="DW1" t="s">
        <v>224</v>
      </c>
      <c r="DX1" t="s">
        <v>225</v>
      </c>
      <c r="DY1" t="s">
        <v>226</v>
      </c>
      <c r="DZ1" t="s">
        <v>227</v>
      </c>
      <c r="EA1" t="s">
        <v>228</v>
      </c>
    </row>
    <row r="2" spans="1:131" x14ac:dyDescent="0.2">
      <c r="A2" t="s">
        <v>107</v>
      </c>
      <c r="S2" s="9"/>
      <c r="T2" s="6"/>
      <c r="U2" s="6"/>
      <c r="V2" s="4"/>
      <c r="W2" s="7"/>
      <c r="X2" s="7"/>
      <c r="Y2" s="8"/>
      <c r="Z2" s="7"/>
      <c r="AA2" s="7"/>
      <c r="AB2" s="7"/>
      <c r="AI2" s="11"/>
      <c r="AJ2" s="4"/>
      <c r="AK2" s="6"/>
      <c r="AL2" s="6"/>
      <c r="AM2" s="11"/>
      <c r="AN2" s="2"/>
      <c r="AR2" s="3"/>
      <c r="AS2" s="3"/>
      <c r="AT2" s="2"/>
      <c r="AU2" s="2"/>
      <c r="AV2" s="2"/>
      <c r="AW2" s="2"/>
      <c r="AX2" s="2"/>
      <c r="AY2" s="3"/>
      <c r="AZ2" s="3"/>
      <c r="BA2" s="2"/>
      <c r="BB2" s="2"/>
      <c r="BC2" s="3"/>
      <c r="BD2" s="3"/>
      <c r="BE2" s="3"/>
      <c r="BF2" s="3"/>
      <c r="BG2" s="3"/>
      <c r="BH2" s="3"/>
      <c r="BI2" s="3"/>
      <c r="BK2" s="7"/>
      <c r="BL2" s="12"/>
      <c r="BM2" s="3"/>
      <c r="BN2" s="3"/>
      <c r="BO2" s="12"/>
      <c r="BP2" s="12"/>
      <c r="BQ2" s="12"/>
      <c r="BR2" s="9"/>
      <c r="BS2" s="9"/>
      <c r="BT2" s="9"/>
      <c r="BU2" s="9"/>
      <c r="BV2" s="9"/>
    </row>
    <row r="3" spans="1:131" x14ac:dyDescent="0.2">
      <c r="A3" t="s">
        <v>90</v>
      </c>
      <c r="S3" s="9"/>
      <c r="T3" s="6"/>
      <c r="U3" s="6"/>
      <c r="V3" s="4"/>
      <c r="W3" s="7"/>
      <c r="X3" s="7"/>
      <c r="Y3" s="8"/>
      <c r="Z3" s="7"/>
      <c r="AA3" s="7"/>
      <c r="AB3" s="7"/>
      <c r="AI3" s="11"/>
      <c r="AJ3" s="4"/>
      <c r="AK3" s="6"/>
      <c r="AL3" s="6"/>
      <c r="AM3" s="11"/>
      <c r="AN3" s="2"/>
      <c r="AR3" s="3"/>
      <c r="AS3" s="3"/>
      <c r="AT3" s="2"/>
      <c r="AU3" s="2"/>
      <c r="AV3" s="2"/>
      <c r="AW3" s="2"/>
      <c r="AX3" s="2"/>
      <c r="AY3" s="3"/>
      <c r="AZ3" s="3"/>
      <c r="BA3" s="2"/>
      <c r="BB3" s="2"/>
      <c r="BC3" s="3"/>
      <c r="BD3" s="3"/>
      <c r="BE3" s="3"/>
      <c r="BF3" s="3"/>
      <c r="BG3" s="3"/>
      <c r="BH3" s="3"/>
      <c r="BI3" s="3"/>
      <c r="BK3" s="7"/>
      <c r="BL3" s="12"/>
      <c r="BM3" s="3"/>
      <c r="BN3" s="3"/>
      <c r="BO3" s="12"/>
      <c r="BP3" s="12"/>
      <c r="BQ3" s="12"/>
      <c r="BR3" s="9"/>
      <c r="BS3" s="9"/>
      <c r="BT3" s="9"/>
      <c r="BU3" s="9"/>
      <c r="BV3" s="9"/>
    </row>
    <row r="4" spans="1:131" x14ac:dyDescent="0.2">
      <c r="A4" t="s">
        <v>91</v>
      </c>
      <c r="S4" s="9"/>
      <c r="T4" s="6"/>
      <c r="U4" s="6"/>
      <c r="V4" s="4"/>
      <c r="W4" s="7"/>
      <c r="X4" s="7"/>
      <c r="Y4" s="8"/>
      <c r="Z4" s="7"/>
      <c r="AA4" s="7"/>
      <c r="AB4" s="7"/>
      <c r="AI4" s="11"/>
      <c r="AJ4" s="4"/>
      <c r="AK4" s="6"/>
      <c r="AL4" s="6"/>
      <c r="AM4" s="11"/>
      <c r="AN4" s="2"/>
      <c r="AR4" s="3"/>
      <c r="AS4" s="3"/>
      <c r="AT4" s="2"/>
      <c r="AU4" s="2"/>
      <c r="AV4" s="2"/>
      <c r="AW4" s="2"/>
      <c r="AX4" s="2"/>
      <c r="AY4" s="3"/>
      <c r="AZ4" s="3"/>
      <c r="BA4" s="2"/>
      <c r="BB4" s="2"/>
      <c r="BC4" s="3"/>
      <c r="BD4" s="3"/>
      <c r="BE4" s="3"/>
      <c r="BF4" s="3"/>
      <c r="BG4" s="3"/>
      <c r="BH4" s="3"/>
      <c r="BI4" s="3"/>
      <c r="BK4" s="7"/>
      <c r="BL4" s="12"/>
      <c r="BM4" s="3"/>
      <c r="BN4" s="3"/>
      <c r="BO4" s="12"/>
      <c r="BP4" s="12"/>
      <c r="BQ4" s="12"/>
      <c r="BR4" s="9"/>
      <c r="BS4" s="9"/>
      <c r="BT4" s="9"/>
      <c r="BU4" s="9"/>
      <c r="BV4" s="9"/>
    </row>
    <row r="5" spans="1:131" x14ac:dyDescent="0.2">
      <c r="A5" t="s">
        <v>92</v>
      </c>
      <c r="B5">
        <v>10.439094025317701</v>
      </c>
      <c r="C5">
        <v>10.171897379030501</v>
      </c>
      <c r="D5">
        <v>10.7167360070142</v>
      </c>
      <c r="E5">
        <v>35.799419398102899</v>
      </c>
      <c r="F5">
        <v>32.0938723812164</v>
      </c>
      <c r="G5">
        <v>39.9701544361168</v>
      </c>
      <c r="H5">
        <v>0</v>
      </c>
      <c r="I5">
        <v>0</v>
      </c>
      <c r="J5">
        <v>0</v>
      </c>
      <c r="K5">
        <v>46.238513423420699</v>
      </c>
      <c r="L5">
        <v>42.478402392971198</v>
      </c>
      <c r="M5">
        <v>50.390024578404997</v>
      </c>
      <c r="N5">
        <v>32.0938723812164</v>
      </c>
      <c r="O5">
        <v>39.9701544361168</v>
      </c>
      <c r="P5">
        <v>43.985883244873101</v>
      </c>
      <c r="Q5">
        <v>39.001947439342601</v>
      </c>
      <c r="R5">
        <v>49.004824497185403</v>
      </c>
      <c r="S5" s="9">
        <v>0</v>
      </c>
      <c r="T5" s="6">
        <v>21.388091567027899</v>
      </c>
      <c r="U5" s="6">
        <v>111.612488235322</v>
      </c>
      <c r="V5" s="4">
        <v>101.59420415379</v>
      </c>
      <c r="W5" s="7">
        <v>121.92635309518</v>
      </c>
      <c r="X5" s="7">
        <v>1000</v>
      </c>
      <c r="Y5" s="8">
        <v>6.6656752115416398E-2</v>
      </c>
      <c r="Z5" s="7">
        <v>23.348039</v>
      </c>
      <c r="AA5" s="7">
        <v>47.622</v>
      </c>
      <c r="AB5" s="7">
        <v>6227.8408195989296</v>
      </c>
      <c r="AC5">
        <v>19670</v>
      </c>
      <c r="AD5">
        <v>94306</v>
      </c>
      <c r="AE5">
        <v>1.82507693639206</v>
      </c>
      <c r="AF5">
        <v>334</v>
      </c>
      <c r="AG5">
        <v>304.34100000000001</v>
      </c>
      <c r="AH5">
        <v>232</v>
      </c>
      <c r="AI5" s="11">
        <v>92.807000000000002</v>
      </c>
      <c r="AJ5" s="4">
        <v>0</v>
      </c>
      <c r="AK5" s="6">
        <v>0</v>
      </c>
      <c r="AL5" s="6"/>
      <c r="AM5" s="11">
        <v>31.8271855923456</v>
      </c>
      <c r="AN5" s="2" t="s">
        <v>36</v>
      </c>
      <c r="AO5" t="s">
        <v>36</v>
      </c>
      <c r="AP5">
        <v>20230329</v>
      </c>
      <c r="AQ5">
        <v>51672</v>
      </c>
      <c r="AR5" s="3">
        <v>4.7946552844019701</v>
      </c>
      <c r="AS5" s="3">
        <v>0.45668979343236699</v>
      </c>
      <c r="AT5" s="2">
        <v>3.0441458354461999E-2</v>
      </c>
      <c r="AU5" s="2">
        <v>2.1078715811396298E-3</v>
      </c>
      <c r="AV5" s="2">
        <v>0.18476967959739299</v>
      </c>
      <c r="AW5" s="2">
        <v>0.81523032040260601</v>
      </c>
      <c r="AX5" s="2">
        <v>0</v>
      </c>
      <c r="AY5" s="3">
        <v>1.6761979516987701E-3</v>
      </c>
      <c r="AZ5" s="3">
        <v>1.58225327126512E-3</v>
      </c>
      <c r="BA5" s="2">
        <v>1.7738151471534101E-3</v>
      </c>
      <c r="BB5" s="2">
        <v>5.7482874779719202E-3</v>
      </c>
      <c r="BC5" s="3">
        <v>4.4454401736721098E-3</v>
      </c>
      <c r="BD5" s="3">
        <v>7.2146919997504002E-3</v>
      </c>
      <c r="BE5" s="3">
        <v>0</v>
      </c>
      <c r="BF5" s="3">
        <v>0</v>
      </c>
      <c r="BG5" s="3">
        <v>0</v>
      </c>
      <c r="BH5" s="3">
        <v>7.4244854296706903E-3</v>
      </c>
      <c r="BI5" s="3">
        <v>6.8207270582915699E-3</v>
      </c>
      <c r="BJ5">
        <v>8.09109064249495E-3</v>
      </c>
      <c r="BK5" s="7">
        <v>1.7921538373954399E-2</v>
      </c>
      <c r="BL5" s="12">
        <v>-1.60862879635652E-3</v>
      </c>
      <c r="BM5" s="3">
        <v>1.6560899930840999E-3</v>
      </c>
      <c r="BN5" s="3">
        <v>1.6312909577597901E-2</v>
      </c>
      <c r="BO5" s="12">
        <v>1.95776283670385E-2</v>
      </c>
      <c r="BP5" s="12">
        <v>7.0627821935413202E-3</v>
      </c>
      <c r="BQ5" s="12">
        <v>6.2625151427448201E-3</v>
      </c>
      <c r="BR5" s="9">
        <v>7.8686700441937905E-3</v>
      </c>
      <c r="BS5" s="9">
        <v>0</v>
      </c>
      <c r="BT5" s="9">
        <v>0</v>
      </c>
      <c r="BU5" s="9">
        <v>0</v>
      </c>
      <c r="BV5" s="9">
        <v>3.4342707507423499E-3</v>
      </c>
      <c r="BW5">
        <v>2.81610201560873E-3</v>
      </c>
      <c r="BX5">
        <v>4.0524394858759798E-3</v>
      </c>
      <c r="BY5">
        <v>1.04970529442837E-2</v>
      </c>
      <c r="BZ5">
        <v>9.0786171583535497E-3</v>
      </c>
      <c r="CA5">
        <v>1.19211095300698E-2</v>
      </c>
      <c r="CB5">
        <v>6.4638488930174997E-3</v>
      </c>
      <c r="CC5">
        <v>5.8898629818857403E-3</v>
      </c>
      <c r="CD5">
        <v>0.82022651923421097</v>
      </c>
      <c r="CE5">
        <v>10777</v>
      </c>
      <c r="CF5">
        <v>2.1527326714299001E-2</v>
      </c>
      <c r="CG5">
        <v>4.7182003050330497E-3</v>
      </c>
      <c r="CH5">
        <v>8.6115802171290706E-3</v>
      </c>
      <c r="CI5">
        <v>79.785302642976006</v>
      </c>
      <c r="CJ5">
        <v>74.801366837445499</v>
      </c>
      <c r="CK5">
        <v>84.804243895288295</v>
      </c>
      <c r="CL5">
        <v>79.785302642976006</v>
      </c>
      <c r="CM5">
        <v>74.801366837445499</v>
      </c>
      <c r="CN5">
        <v>84.804243895288295</v>
      </c>
      <c r="CO5">
        <v>31.8271855923456</v>
      </c>
      <c r="CP5">
        <v>27.7101324639934</v>
      </c>
      <c r="CQ5">
        <v>35.954684056107197</v>
      </c>
      <c r="CR5">
        <v>79.890847212492403</v>
      </c>
      <c r="CS5">
        <v>71.755779799372604</v>
      </c>
      <c r="CT5">
        <v>89.041669741218698</v>
      </c>
      <c r="CU5">
        <v>6.8228679033276602</v>
      </c>
      <c r="CV5">
        <v>5.9653813633954904</v>
      </c>
      <c r="CW5">
        <v>7.7546272730968697</v>
      </c>
      <c r="CX5">
        <v>27.3657130224829</v>
      </c>
      <c r="CY5">
        <v>23.570773844722702</v>
      </c>
      <c r="CZ5">
        <v>31.7330674161547</v>
      </c>
      <c r="DA5">
        <v>9.7973023190625401</v>
      </c>
      <c r="DB5">
        <v>7.3908853781490498</v>
      </c>
      <c r="DC5">
        <v>12.772090945177901</v>
      </c>
      <c r="DD5">
        <v>0</v>
      </c>
      <c r="DE5">
        <v>0</v>
      </c>
      <c r="DF5">
        <v>0</v>
      </c>
      <c r="DG5">
        <v>0.71484082615897504</v>
      </c>
      <c r="DH5">
        <v>0.71484082615897504</v>
      </c>
      <c r="DI5">
        <v>0.28515917384102502</v>
      </c>
      <c r="DJ5">
        <v>0.58572275894542403</v>
      </c>
      <c r="DK5">
        <v>0.39409373160774303</v>
      </c>
      <c r="DL5">
        <v>46.238513423420699</v>
      </c>
      <c r="DM5">
        <v>3.6331021734893501</v>
      </c>
      <c r="DN5">
        <v>0.57788260365583499</v>
      </c>
      <c r="DO5">
        <v>1.06611193281389E-2</v>
      </c>
      <c r="DP5">
        <v>0.9</v>
      </c>
      <c r="DQ5">
        <v>17.326203208556102</v>
      </c>
      <c r="DR5">
        <v>9.2415674302494297E-2</v>
      </c>
      <c r="DS5">
        <v>-8.9759733591281504E-2</v>
      </c>
      <c r="DT5">
        <v>0</v>
      </c>
      <c r="DU5">
        <v>0</v>
      </c>
      <c r="DV5">
        <v>2.0436057234472999E-3</v>
      </c>
      <c r="DW5">
        <v>1.9552974962658101E-3</v>
      </c>
      <c r="DX5">
        <v>2.1741778221331999E-3</v>
      </c>
      <c r="DY5">
        <v>5.9587925946185498E-3</v>
      </c>
      <c r="DZ5">
        <v>6.80521140665222E-3</v>
      </c>
      <c r="EA5">
        <v>5.1123737825848796E-3</v>
      </c>
    </row>
    <row r="6" spans="1:131" x14ac:dyDescent="0.2">
      <c r="A6" t="s">
        <v>93</v>
      </c>
      <c r="S6" s="9"/>
      <c r="T6" s="6"/>
      <c r="U6" s="6"/>
      <c r="V6" s="4"/>
      <c r="W6" s="7"/>
      <c r="X6" s="7"/>
      <c r="Y6" s="8"/>
      <c r="Z6" s="7"/>
      <c r="AA6" s="7"/>
      <c r="AB6" s="7"/>
      <c r="AI6" s="11"/>
      <c r="AJ6" s="4"/>
      <c r="AK6" s="6"/>
      <c r="AL6" s="6"/>
      <c r="AM6" s="11"/>
      <c r="AN6" s="2"/>
      <c r="AR6" s="3"/>
      <c r="AS6" s="3"/>
      <c r="AT6" s="2"/>
      <c r="AU6" s="2"/>
      <c r="AV6" s="2"/>
      <c r="AW6" s="2"/>
      <c r="AX6" s="2"/>
      <c r="AY6" s="3"/>
      <c r="AZ6" s="3"/>
      <c r="BA6" s="2"/>
      <c r="BB6" s="2"/>
      <c r="BC6" s="3"/>
      <c r="BD6" s="3"/>
      <c r="BE6" s="3"/>
      <c r="BF6" s="3"/>
      <c r="BG6" s="3"/>
      <c r="BH6" s="3"/>
      <c r="BI6" s="3"/>
      <c r="BK6" s="7"/>
      <c r="BL6" s="12"/>
      <c r="BM6" s="3"/>
      <c r="BN6" s="3"/>
      <c r="BO6" s="12"/>
      <c r="BP6" s="12"/>
      <c r="BQ6" s="12"/>
      <c r="BR6" s="9"/>
      <c r="BS6" s="9"/>
      <c r="BT6" s="9"/>
      <c r="BU6" s="9"/>
      <c r="BV6" s="9"/>
    </row>
    <row r="7" spans="1:131" x14ac:dyDescent="0.2">
      <c r="A7" t="s">
        <v>94</v>
      </c>
      <c r="S7" s="9"/>
      <c r="T7" s="6"/>
      <c r="U7" s="6"/>
      <c r="V7" s="4"/>
      <c r="W7" s="7"/>
      <c r="X7" s="7"/>
      <c r="Y7" s="8"/>
      <c r="Z7" s="7"/>
      <c r="AA7" s="7"/>
      <c r="AB7" s="7"/>
      <c r="AI7" s="11"/>
      <c r="AJ7" s="4"/>
      <c r="AK7" s="6"/>
      <c r="AL7" s="6"/>
      <c r="AM7" s="11"/>
      <c r="AN7" s="2"/>
      <c r="AR7" s="3"/>
      <c r="AS7" s="3"/>
      <c r="AT7" s="2"/>
      <c r="AU7" s="2"/>
      <c r="AV7" s="2"/>
      <c r="AW7" s="2"/>
      <c r="AX7" s="2"/>
      <c r="AY7" s="3"/>
      <c r="AZ7" s="3"/>
      <c r="BA7" s="2"/>
      <c r="BB7" s="2"/>
      <c r="BC7" s="3"/>
      <c r="BD7" s="3"/>
      <c r="BE7" s="3"/>
      <c r="BF7" s="3"/>
      <c r="BG7" s="3"/>
      <c r="BH7" s="3"/>
      <c r="BI7" s="3"/>
      <c r="BK7" s="7"/>
      <c r="BL7" s="12"/>
      <c r="BM7" s="3"/>
      <c r="BN7" s="3"/>
      <c r="BO7" s="12"/>
      <c r="BP7" s="12"/>
      <c r="BQ7" s="12"/>
      <c r="BR7" s="9"/>
      <c r="BS7" s="9"/>
      <c r="BT7" s="9"/>
      <c r="BU7" s="9"/>
      <c r="BV7" s="9"/>
    </row>
    <row r="8" spans="1:131" x14ac:dyDescent="0.2">
      <c r="A8" t="s">
        <v>95</v>
      </c>
      <c r="S8" s="9"/>
      <c r="T8" s="6"/>
      <c r="U8" s="6"/>
      <c r="V8" s="4"/>
      <c r="W8" s="7"/>
      <c r="X8" s="7"/>
      <c r="Y8" s="8"/>
      <c r="Z8" s="7"/>
      <c r="AA8" s="7"/>
      <c r="AB8" s="7"/>
      <c r="AI8" s="11"/>
      <c r="AJ8" s="4"/>
      <c r="AK8" s="6"/>
      <c r="AL8" s="6"/>
      <c r="AM8" s="11"/>
      <c r="AN8" s="2"/>
      <c r="AR8" s="3"/>
      <c r="AS8" s="3"/>
      <c r="AT8" s="2"/>
      <c r="AU8" s="2"/>
      <c r="AV8" s="2"/>
      <c r="AW8" s="2"/>
      <c r="AX8" s="2"/>
      <c r="AY8" s="3"/>
      <c r="AZ8" s="3"/>
      <c r="BA8" s="2"/>
      <c r="BB8" s="2"/>
      <c r="BC8" s="3"/>
      <c r="BD8" s="3"/>
      <c r="BE8" s="3"/>
      <c r="BF8" s="3"/>
      <c r="BG8" s="3"/>
      <c r="BH8" s="3"/>
      <c r="BI8" s="3"/>
      <c r="BK8" s="7"/>
      <c r="BL8" s="12"/>
      <c r="BM8" s="3"/>
      <c r="BN8" s="3"/>
      <c r="BO8" s="12"/>
      <c r="BP8" s="12"/>
      <c r="BQ8" s="12"/>
      <c r="BR8" s="9"/>
      <c r="BS8" s="9"/>
      <c r="BT8" s="9"/>
      <c r="BU8" s="9"/>
      <c r="BV8" s="9"/>
    </row>
    <row r="9" spans="1:131" x14ac:dyDescent="0.2">
      <c r="A9" t="s">
        <v>96</v>
      </c>
      <c r="S9" s="9"/>
      <c r="T9" s="6"/>
      <c r="U9" s="6"/>
      <c r="V9" s="4"/>
      <c r="W9" s="7"/>
      <c r="X9" s="7"/>
      <c r="Y9" s="8"/>
      <c r="Z9" s="7"/>
      <c r="AA9" s="7"/>
      <c r="AB9" s="7"/>
      <c r="AI9" s="11"/>
      <c r="AJ9" s="4"/>
      <c r="AK9" s="6"/>
      <c r="AL9" s="6"/>
      <c r="AM9" s="11"/>
      <c r="AN9" s="2"/>
      <c r="AR9" s="3"/>
      <c r="AS9" s="3"/>
      <c r="AT9" s="2"/>
      <c r="AU9" s="2"/>
      <c r="AV9" s="2"/>
      <c r="AW9" s="2"/>
      <c r="AX9" s="2"/>
      <c r="AY9" s="3"/>
      <c r="AZ9" s="3"/>
      <c r="BA9" s="2"/>
      <c r="BB9" s="2"/>
      <c r="BC9" s="3"/>
      <c r="BD9" s="3"/>
      <c r="BE9" s="3"/>
      <c r="BF9" s="3"/>
      <c r="BG9" s="3"/>
      <c r="BH9" s="3"/>
      <c r="BI9" s="3"/>
      <c r="BK9" s="7"/>
      <c r="BL9" s="12"/>
      <c r="BM9" s="3"/>
      <c r="BN9" s="3"/>
      <c r="BO9" s="12"/>
      <c r="BP9" s="12"/>
      <c r="BQ9" s="12"/>
      <c r="BR9" s="9"/>
      <c r="BS9" s="9"/>
      <c r="BT9" s="9"/>
      <c r="BU9" s="9"/>
      <c r="BV9" s="9"/>
    </row>
    <row r="10" spans="1:131" x14ac:dyDescent="0.2">
      <c r="A10" t="s">
        <v>97</v>
      </c>
      <c r="S10" s="9"/>
      <c r="T10" s="6"/>
      <c r="U10" s="6"/>
      <c r="V10" s="4"/>
      <c r="W10" s="7"/>
      <c r="X10" s="7"/>
      <c r="Y10" s="8"/>
      <c r="Z10" s="7"/>
      <c r="AA10" s="7"/>
      <c r="AB10" s="7"/>
      <c r="AI10" s="11"/>
      <c r="AJ10" s="4"/>
      <c r="AK10" s="6"/>
      <c r="AL10" s="6"/>
      <c r="AM10" s="11"/>
      <c r="AN10" s="2"/>
      <c r="AR10" s="3"/>
      <c r="AS10" s="3"/>
      <c r="AT10" s="2"/>
      <c r="AU10" s="2"/>
      <c r="AV10" s="2"/>
      <c r="AW10" s="2"/>
      <c r="AX10" s="2"/>
      <c r="AY10" s="3"/>
      <c r="AZ10" s="3"/>
      <c r="BA10" s="2"/>
      <c r="BB10" s="2"/>
      <c r="BC10" s="3"/>
      <c r="BD10" s="3"/>
      <c r="BE10" s="3"/>
      <c r="BF10" s="3"/>
      <c r="BG10" s="3"/>
      <c r="BH10" s="3"/>
      <c r="BI10" s="3"/>
      <c r="BK10" s="7"/>
      <c r="BL10" s="12"/>
      <c r="BM10" s="3"/>
      <c r="BN10" s="3"/>
      <c r="BO10" s="12"/>
      <c r="BP10" s="12"/>
      <c r="BQ10" s="12"/>
      <c r="BR10" s="9"/>
      <c r="BS10" s="9"/>
      <c r="BT10" s="9"/>
      <c r="BU10" s="9"/>
      <c r="BV10" s="9"/>
    </row>
    <row r="11" spans="1:131" x14ac:dyDescent="0.2">
      <c r="A11" t="s">
        <v>98</v>
      </c>
      <c r="S11" s="9"/>
      <c r="T11" s="6"/>
      <c r="U11" s="6"/>
      <c r="V11" s="4"/>
      <c r="W11" s="7"/>
      <c r="X11" s="7"/>
      <c r="Y11" s="8"/>
      <c r="Z11" s="7"/>
      <c r="AA11" s="7"/>
      <c r="AB11" s="7"/>
      <c r="AI11" s="11"/>
      <c r="AJ11" s="4"/>
      <c r="AK11" s="6"/>
      <c r="AL11" s="6"/>
      <c r="AM11" s="11"/>
      <c r="AN11" s="2"/>
      <c r="AR11" s="3"/>
      <c r="AS11" s="3"/>
      <c r="AT11" s="2"/>
      <c r="AU11" s="2"/>
      <c r="AV11" s="2"/>
      <c r="AW11" s="2"/>
      <c r="AX11" s="2"/>
      <c r="AY11" s="3"/>
      <c r="AZ11" s="3"/>
      <c r="BA11" s="2"/>
      <c r="BB11" s="2"/>
      <c r="BC11" s="3"/>
      <c r="BD11" s="3"/>
      <c r="BE11" s="3"/>
      <c r="BF11" s="3"/>
      <c r="BG11" s="3"/>
      <c r="BH11" s="3"/>
      <c r="BI11" s="3"/>
      <c r="BK11" s="7"/>
      <c r="BL11" s="12"/>
      <c r="BM11" s="3"/>
      <c r="BN11" s="3"/>
      <c r="BO11" s="12"/>
      <c r="BP11" s="12"/>
      <c r="BQ11" s="12"/>
      <c r="BR11" s="9"/>
      <c r="BS11" s="9"/>
      <c r="BT11" s="9"/>
      <c r="BU11" s="9"/>
      <c r="BV11" s="9"/>
    </row>
    <row r="12" spans="1:131" x14ac:dyDescent="0.2">
      <c r="A12" t="s">
        <v>99</v>
      </c>
      <c r="S12" s="9"/>
      <c r="T12" s="6"/>
      <c r="U12" s="6"/>
      <c r="V12" s="4"/>
      <c r="W12" s="7"/>
      <c r="X12" s="7"/>
      <c r="Y12" s="8"/>
      <c r="Z12" s="7"/>
      <c r="AA12" s="7"/>
      <c r="AB12" s="7"/>
      <c r="AI12" s="11"/>
      <c r="AJ12" s="4"/>
      <c r="AK12" s="6"/>
      <c r="AL12" s="6"/>
      <c r="AM12" s="11"/>
      <c r="AN12" s="2"/>
      <c r="AR12" s="3"/>
      <c r="AS12" s="3"/>
      <c r="AT12" s="2"/>
      <c r="AU12" s="2"/>
      <c r="AV12" s="2"/>
      <c r="AW12" s="2"/>
      <c r="AX12" s="2"/>
      <c r="AY12" s="3"/>
      <c r="AZ12" s="3"/>
      <c r="BA12" s="2"/>
      <c r="BB12" s="2"/>
      <c r="BC12" s="3"/>
      <c r="BD12" s="3"/>
      <c r="BE12" s="3"/>
      <c r="BF12" s="3"/>
      <c r="BG12" s="3"/>
      <c r="BH12" s="3"/>
      <c r="BI12" s="3"/>
      <c r="BK12" s="7"/>
      <c r="BL12" s="12"/>
      <c r="BM12" s="3"/>
      <c r="BN12" s="3"/>
      <c r="BO12" s="12"/>
      <c r="BP12" s="12"/>
      <c r="BQ12" s="12"/>
      <c r="BR12" s="9"/>
      <c r="BS12" s="9"/>
      <c r="BT12" s="9"/>
      <c r="BU12" s="9"/>
      <c r="BV12" s="9"/>
    </row>
    <row r="13" spans="1:131" x14ac:dyDescent="0.2">
      <c r="A13" t="s">
        <v>100</v>
      </c>
      <c r="S13" s="9"/>
      <c r="T13" s="6"/>
      <c r="U13" s="6"/>
      <c r="V13" s="4"/>
      <c r="W13" s="7"/>
      <c r="X13" s="7"/>
      <c r="Y13" s="8"/>
      <c r="Z13" s="7"/>
      <c r="AA13" s="7"/>
      <c r="AB13" s="7"/>
      <c r="AI13" s="11"/>
      <c r="AJ13" s="4"/>
      <c r="AK13" s="6"/>
      <c r="AL13" s="6"/>
      <c r="AM13" s="11"/>
      <c r="AN13" s="2"/>
      <c r="AP13" s="15"/>
      <c r="AR13" s="3"/>
      <c r="AS13" s="3"/>
      <c r="AT13" s="2"/>
      <c r="AU13" s="2"/>
      <c r="AV13" s="2"/>
      <c r="AW13" s="2"/>
      <c r="AX13" s="2"/>
      <c r="AY13" s="3"/>
      <c r="AZ13" s="3"/>
      <c r="BA13" s="2"/>
      <c r="BB13" s="2"/>
      <c r="BC13" s="3"/>
      <c r="BD13" s="3"/>
      <c r="BE13" s="3"/>
      <c r="BF13" s="3"/>
      <c r="BG13" s="3"/>
      <c r="BH13" s="3"/>
      <c r="BI13" s="3"/>
      <c r="BK13" s="7"/>
      <c r="BL13" s="12"/>
      <c r="BM13" s="3"/>
      <c r="BN13" s="3"/>
      <c r="BO13" s="12"/>
      <c r="BP13" s="12"/>
      <c r="BQ13" s="12"/>
      <c r="BR13" s="9"/>
      <c r="BS13" s="9"/>
      <c r="BT13" s="9"/>
      <c r="BU13" s="9"/>
      <c r="BV13" s="9"/>
    </row>
    <row r="14" spans="1:131" x14ac:dyDescent="0.2">
      <c r="A14" t="s">
        <v>101</v>
      </c>
      <c r="S14" s="9"/>
      <c r="T14" s="6"/>
      <c r="U14" s="6"/>
      <c r="V14" s="4"/>
      <c r="W14" s="7"/>
      <c r="X14" s="7"/>
      <c r="Y14" s="8"/>
      <c r="Z14" s="7"/>
      <c r="AA14" s="7"/>
      <c r="AB14" s="7"/>
      <c r="AI14" s="11"/>
      <c r="AJ14" s="4"/>
      <c r="AK14" s="6"/>
      <c r="AL14" s="6"/>
      <c r="AM14" s="11"/>
      <c r="AN14" s="2"/>
      <c r="AP14" s="15"/>
      <c r="AR14" s="3"/>
      <c r="AS14" s="3"/>
      <c r="AT14" s="2"/>
      <c r="AU14" s="2"/>
      <c r="AV14" s="2"/>
      <c r="AW14" s="2"/>
      <c r="AX14" s="2"/>
      <c r="AY14" s="3"/>
      <c r="AZ14" s="3"/>
      <c r="BA14" s="2"/>
      <c r="BB14" s="2"/>
      <c r="BC14" s="3"/>
      <c r="BD14" s="3"/>
      <c r="BE14" s="3"/>
      <c r="BF14" s="3"/>
      <c r="BG14" s="3"/>
      <c r="BH14" s="3"/>
      <c r="BI14" s="3"/>
      <c r="BK14" s="7"/>
      <c r="BL14" s="12"/>
      <c r="BM14" s="3"/>
      <c r="BN14" s="3"/>
      <c r="BO14" s="12"/>
      <c r="BP14" s="12"/>
      <c r="BQ14" s="12"/>
      <c r="BR14" s="9"/>
      <c r="BS14" s="9"/>
      <c r="BT14" s="9"/>
      <c r="BU14" s="9"/>
      <c r="BV14" s="9"/>
    </row>
    <row r="15" spans="1:131" x14ac:dyDescent="0.2">
      <c r="A15" t="s">
        <v>89</v>
      </c>
      <c r="S15" s="9"/>
      <c r="T15" s="6"/>
      <c r="U15" s="6"/>
      <c r="V15" s="4"/>
      <c r="W15" s="7"/>
      <c r="X15" s="7"/>
      <c r="Y15" s="8"/>
      <c r="Z15" s="7"/>
      <c r="AA15" s="7"/>
      <c r="AB15" s="7"/>
      <c r="AI15" s="11"/>
      <c r="AJ15" s="4"/>
      <c r="AK15" s="6"/>
      <c r="AL15" s="6"/>
      <c r="AM15" s="11"/>
      <c r="AN15" s="2"/>
      <c r="AP15" s="15"/>
      <c r="AR15" s="3"/>
      <c r="AS15" s="3"/>
      <c r="AT15" s="2"/>
      <c r="AU15" s="2"/>
      <c r="AV15" s="2"/>
      <c r="AW15" s="2"/>
      <c r="AX15" s="2"/>
      <c r="AY15" s="3"/>
      <c r="AZ15" s="3"/>
      <c r="BA15" s="2"/>
      <c r="BB15" s="2"/>
      <c r="BC15" s="3"/>
      <c r="BD15" s="3"/>
      <c r="BE15" s="3"/>
      <c r="BF15" s="3"/>
      <c r="BG15" s="3"/>
      <c r="BH15" s="3"/>
      <c r="BI15" s="3"/>
      <c r="BK15" s="7"/>
      <c r="BL15" s="12"/>
      <c r="BM15" s="3"/>
      <c r="BN15" s="3"/>
      <c r="BO15" s="12"/>
      <c r="BP15" s="12"/>
      <c r="BQ15" s="12"/>
      <c r="BR15" s="9"/>
      <c r="BS15" s="9"/>
      <c r="BT15" s="9"/>
      <c r="BU15" s="9"/>
      <c r="BV15" s="9"/>
    </row>
    <row r="16" spans="1:131" x14ac:dyDescent="0.2">
      <c r="A16" t="s">
        <v>102</v>
      </c>
      <c r="S16" s="9"/>
      <c r="U16" s="6"/>
      <c r="AI16" s="11"/>
      <c r="AJ16" s="4"/>
      <c r="AK16" s="6"/>
      <c r="AL16" s="6"/>
      <c r="AM16" s="11"/>
      <c r="AN16" s="2"/>
      <c r="AR16" s="3"/>
      <c r="AS16" s="3"/>
      <c r="AT16" s="2"/>
      <c r="AU16" s="2"/>
      <c r="AV16" s="2"/>
      <c r="AW16" s="2"/>
      <c r="AX16" s="2"/>
      <c r="AY16" s="3"/>
      <c r="AZ16" s="3"/>
      <c r="BA16" s="2"/>
      <c r="BB16" s="2"/>
      <c r="BC16" s="3"/>
      <c r="BD16" s="3"/>
      <c r="BE16" s="3"/>
      <c r="BF16" s="3"/>
      <c r="BG16" s="3"/>
      <c r="BH16" s="3"/>
      <c r="BI16" s="3"/>
      <c r="BK16" s="7"/>
      <c r="BL16" s="12"/>
      <c r="BM16" s="3"/>
      <c r="BN16" s="3"/>
      <c r="BO16" s="12"/>
      <c r="BP16" s="12"/>
      <c r="BQ16" s="12"/>
      <c r="BR16" s="9"/>
      <c r="BS16" s="9"/>
      <c r="BT16" s="9"/>
      <c r="BU16" s="9"/>
      <c r="BV16" s="9"/>
    </row>
    <row r="17" spans="1:74" x14ac:dyDescent="0.2">
      <c r="A17" t="s">
        <v>103</v>
      </c>
      <c r="S17" s="9"/>
      <c r="T17" s="6"/>
      <c r="U17" s="6"/>
      <c r="V17" s="4"/>
      <c r="W17" s="7"/>
      <c r="X17" s="7"/>
      <c r="Y17" s="8"/>
      <c r="Z17" s="7"/>
      <c r="AA17" s="7"/>
      <c r="AB17" s="7"/>
      <c r="AI17" s="11"/>
      <c r="AJ17" s="4"/>
      <c r="AK17" s="6"/>
      <c r="AL17" s="6"/>
      <c r="AM17" s="11"/>
      <c r="AN17" s="2"/>
      <c r="AR17" s="3"/>
      <c r="AS17" s="3"/>
      <c r="AT17" s="2"/>
      <c r="AU17" s="2"/>
      <c r="AV17" s="2"/>
      <c r="AW17" s="2"/>
      <c r="AX17" s="2"/>
      <c r="AY17" s="3"/>
      <c r="AZ17" s="3"/>
      <c r="BA17" s="2"/>
      <c r="BB17" s="2"/>
      <c r="BC17" s="3"/>
      <c r="BD17" s="3"/>
      <c r="BE17" s="3"/>
      <c r="BF17" s="3"/>
      <c r="BG17" s="3"/>
      <c r="BH17" s="3"/>
      <c r="BI17" s="3"/>
      <c r="BK17" s="7"/>
      <c r="BL17" s="12"/>
      <c r="BM17" s="3"/>
      <c r="BN17" s="3"/>
      <c r="BO17" s="12"/>
      <c r="BP17" s="12"/>
      <c r="BQ17" s="12"/>
      <c r="BR17" s="9"/>
      <c r="BS17" s="9"/>
      <c r="BT17" s="9"/>
      <c r="BU17" s="9"/>
      <c r="BV17" s="9"/>
    </row>
    <row r="18" spans="1:74" x14ac:dyDescent="0.2">
      <c r="A18" t="s">
        <v>104</v>
      </c>
      <c r="S18" s="9"/>
      <c r="U18" s="6"/>
      <c r="AI18" s="11"/>
      <c r="AJ18" s="4"/>
      <c r="AK18" s="6"/>
      <c r="AL18" s="6"/>
      <c r="AM18" s="11"/>
      <c r="AN18" s="2"/>
      <c r="AR18" s="3"/>
      <c r="AS18" s="3"/>
      <c r="AT18" s="2"/>
      <c r="AU18" s="2"/>
      <c r="AV18" s="2"/>
      <c r="AW18" s="2"/>
      <c r="AX18" s="2"/>
      <c r="AY18" s="3"/>
      <c r="AZ18" s="3"/>
      <c r="BA18" s="2"/>
      <c r="BB18" s="2"/>
      <c r="BC18" s="3"/>
      <c r="BD18" s="3"/>
      <c r="BE18" s="3"/>
      <c r="BF18" s="3"/>
      <c r="BG18" s="3"/>
      <c r="BH18" s="3"/>
      <c r="BI18" s="3"/>
      <c r="BK18" s="7"/>
      <c r="BL18" s="12"/>
      <c r="BM18" s="3"/>
      <c r="BN18" s="3"/>
      <c r="BO18" s="12"/>
      <c r="BP18" s="12"/>
      <c r="BQ18" s="12"/>
      <c r="BR18" s="9"/>
      <c r="BS18" s="9"/>
      <c r="BT18" s="9"/>
      <c r="BU18" s="9"/>
      <c r="BV18" s="9"/>
    </row>
    <row r="19" spans="1:74" x14ac:dyDescent="0.2">
      <c r="A19" t="s">
        <v>105</v>
      </c>
      <c r="S19" s="9"/>
      <c r="U19" s="6"/>
      <c r="W19" s="10"/>
      <c r="X19" s="10"/>
      <c r="AI19" s="11"/>
      <c r="AJ19" s="4"/>
      <c r="AK19" s="6"/>
      <c r="AL19" s="6"/>
      <c r="AM19" s="11"/>
      <c r="AN19" s="2"/>
      <c r="AR19" s="3"/>
      <c r="AS19" s="3"/>
      <c r="AT19" s="2"/>
      <c r="AU19" s="2"/>
      <c r="AV19" s="2"/>
      <c r="AW19" s="2"/>
      <c r="AX19" s="2"/>
      <c r="AY19" s="3"/>
      <c r="AZ19" s="3"/>
      <c r="BA19" s="2"/>
      <c r="BB19" s="2"/>
      <c r="BC19" s="3"/>
      <c r="BD19" s="3"/>
      <c r="BE19" s="3"/>
      <c r="BF19" s="3"/>
      <c r="BG19" s="3"/>
      <c r="BH19" s="3"/>
      <c r="BI19" s="3"/>
      <c r="BK19" s="7"/>
      <c r="BL19" s="12"/>
      <c r="BM19" s="3"/>
      <c r="BN19" s="3"/>
      <c r="BO19" s="12"/>
      <c r="BP19" s="12"/>
      <c r="BQ19" s="12"/>
      <c r="BR19" s="9"/>
      <c r="BS19" s="9"/>
      <c r="BT19" s="9"/>
      <c r="BU19" s="9"/>
      <c r="BV19" s="9"/>
    </row>
    <row r="20" spans="1:74" x14ac:dyDescent="0.2">
      <c r="S20" s="9"/>
      <c r="U20" s="6"/>
      <c r="AI20" s="11"/>
      <c r="AJ20" s="4"/>
      <c r="AK20" s="6"/>
      <c r="AL20" s="6"/>
      <c r="AM20" s="11"/>
      <c r="AN20" s="2"/>
      <c r="AR20" s="3"/>
      <c r="AS20" s="2"/>
      <c r="AT20" s="2"/>
      <c r="AU20" s="2"/>
      <c r="AV20" s="2"/>
      <c r="AW20" s="2"/>
      <c r="AX20" s="2"/>
      <c r="AY20" s="3"/>
      <c r="AZ20" s="3"/>
      <c r="BA20" s="2"/>
      <c r="BB20" s="2"/>
      <c r="BC20" s="3"/>
      <c r="BD20" s="3"/>
      <c r="BE20" s="3"/>
      <c r="BF20" s="3"/>
      <c r="BG20" s="3"/>
      <c r="BH20" s="3"/>
      <c r="BI20" s="3"/>
      <c r="BK20" s="7"/>
      <c r="BL20" s="12"/>
      <c r="BM20" s="3"/>
      <c r="BN20" s="3"/>
      <c r="BO20" s="12"/>
      <c r="BP20" s="12"/>
      <c r="BQ20" s="12"/>
      <c r="BR20" s="9"/>
      <c r="BS20" s="9"/>
      <c r="BT20" s="9"/>
      <c r="BU20" s="9"/>
      <c r="BV20" s="9"/>
    </row>
    <row r="21" spans="1:74" x14ac:dyDescent="0.2">
      <c r="U21" s="4"/>
      <c r="V21" s="7"/>
      <c r="AI21" s="11"/>
      <c r="AJ21" s="4"/>
      <c r="AK21" s="6"/>
      <c r="AL21" s="6"/>
      <c r="AM21" s="6"/>
      <c r="AN21" s="6"/>
      <c r="AR21" s="3"/>
      <c r="AS21" s="2"/>
      <c r="AT21" s="2"/>
      <c r="AU21" s="2"/>
      <c r="AV21" s="2"/>
      <c r="AW21" s="2"/>
      <c r="AX21" s="2"/>
      <c r="AY21" s="3"/>
      <c r="AZ21" s="3"/>
      <c r="BA21" s="2"/>
      <c r="BB21" s="2"/>
      <c r="BC21" s="3"/>
      <c r="BD21" s="3"/>
      <c r="BE21" s="3"/>
      <c r="BF21" s="3"/>
      <c r="BG21" s="3"/>
      <c r="BH21" s="3"/>
      <c r="BI21" s="3"/>
      <c r="BK21" s="7"/>
      <c r="BL21" s="3"/>
      <c r="BM21" s="3"/>
      <c r="BN21" s="3"/>
    </row>
    <row r="22" spans="1:74" x14ac:dyDescent="0.2">
      <c r="V22" s="10"/>
      <c r="W22" s="10"/>
      <c r="X22" s="10"/>
      <c r="AC22" s="10"/>
      <c r="AD22" s="10"/>
      <c r="AE22" s="10"/>
      <c r="AI22" s="11"/>
      <c r="AJ22" s="10"/>
      <c r="BK22" s="10"/>
      <c r="BN22" s="3"/>
      <c r="BO22" s="3"/>
      <c r="BP22" s="12"/>
      <c r="BQ22" s="12"/>
      <c r="BR22" s="12"/>
      <c r="BS22" s="12"/>
      <c r="BT22" s="12"/>
      <c r="BU22" s="12"/>
      <c r="BV22" s="12"/>
    </row>
    <row r="23" spans="1:74" x14ac:dyDescent="0.2">
      <c r="AI23" s="11"/>
      <c r="AJ23" s="4"/>
      <c r="BK23" s="10"/>
      <c r="BN23" s="3"/>
      <c r="BO23" s="3"/>
      <c r="BP23" s="12"/>
      <c r="BQ23" s="12"/>
      <c r="BR23" s="12"/>
      <c r="BS23" s="12"/>
      <c r="BT23" s="12"/>
      <c r="BU23" s="12"/>
      <c r="BV23" s="12"/>
    </row>
    <row r="24" spans="1:74" x14ac:dyDescent="0.2">
      <c r="V24" s="14"/>
      <c r="BP24" s="13"/>
      <c r="BQ24" s="13"/>
      <c r="BR24" s="13"/>
      <c r="BS24" s="13"/>
      <c r="BT24" s="13"/>
      <c r="BU24" s="13"/>
      <c r="BV24" s="13"/>
    </row>
    <row r="25" spans="1:74" x14ac:dyDescent="0.2">
      <c r="BP25" s="13"/>
      <c r="BQ25" s="13"/>
      <c r="BR25" s="13"/>
      <c r="BS25" s="13"/>
      <c r="BT25" s="13"/>
      <c r="BU25" s="13"/>
      <c r="BV25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B3969-4EDE-CE44-A06E-556616C7431F}">
  <dimension ref="A1:G15"/>
  <sheetViews>
    <sheetView workbookViewId="0">
      <selection activeCell="B1" sqref="B1"/>
    </sheetView>
  </sheetViews>
  <sheetFormatPr baseColWidth="10" defaultRowHeight="16" x14ac:dyDescent="0.2"/>
  <sheetData>
    <row r="1" spans="1:7" x14ac:dyDescent="0.2">
      <c r="A1" t="s">
        <v>0</v>
      </c>
      <c r="B1" t="s">
        <v>28</v>
      </c>
      <c r="C1" t="s">
        <v>29</v>
      </c>
      <c r="D1" t="s">
        <v>30</v>
      </c>
      <c r="G1" t="s">
        <v>47</v>
      </c>
    </row>
    <row r="2" spans="1:7" x14ac:dyDescent="0.2">
      <c r="A2" t="s">
        <v>1</v>
      </c>
      <c r="B2">
        <f>'By site visit'!AW2/'By site'!CB3</f>
        <v>0</v>
      </c>
      <c r="C2" t="e">
        <f>'By site'!BA3/'By site visit'!AM2</f>
        <v>#DIV/0!</v>
      </c>
      <c r="D2" t="e">
        <f>B2/C2</f>
        <v>#DIV/0!</v>
      </c>
      <c r="G2" s="9">
        <f>'By site visit'!AO2/'By site'!BA3-1</f>
        <v>-1</v>
      </c>
    </row>
    <row r="3" spans="1:7" x14ac:dyDescent="0.2">
      <c r="A3" t="s">
        <v>2</v>
      </c>
      <c r="B3">
        <f>'By site visit'!AW3/'By site'!CB4</f>
        <v>69.232100950155527</v>
      </c>
      <c r="C3">
        <f>'By site'!BA4/'By site visit'!AM3</f>
        <v>8.6199281529708115E-6</v>
      </c>
      <c r="D3">
        <f t="shared" ref="D3:D15" si="0">B3/C3</f>
        <v>8031633.1785544008</v>
      </c>
      <c r="G3" s="9" t="e">
        <f>'By site visit'!AO3/'By site'!BA4-1</f>
        <v>#VALUE!</v>
      </c>
    </row>
    <row r="4" spans="1:7" x14ac:dyDescent="0.2">
      <c r="A4" t="s">
        <v>21</v>
      </c>
      <c r="B4">
        <f>'By site visit'!AW4/'By site'!CB5</f>
        <v>0</v>
      </c>
      <c r="C4" t="e">
        <f>'By site'!BA5/'By site visit'!AM4</f>
        <v>#DIV/0!</v>
      </c>
      <c r="D4" t="e">
        <f t="shared" si="0"/>
        <v>#DIV/0!</v>
      </c>
      <c r="G4" s="9">
        <f>'By site visit'!AO4/'By site'!BA5-1</f>
        <v>-1</v>
      </c>
    </row>
    <row r="5" spans="1:7" x14ac:dyDescent="0.2">
      <c r="A5" t="s">
        <v>3</v>
      </c>
      <c r="B5">
        <f>'By site visit'!AW5/'By site'!CB6</f>
        <v>0</v>
      </c>
      <c r="C5" t="e">
        <f>'By site'!BA6/'By site visit'!AM5</f>
        <v>#DIV/0!</v>
      </c>
      <c r="D5" t="e">
        <f t="shared" si="0"/>
        <v>#DIV/0!</v>
      </c>
      <c r="G5" s="9">
        <f>'By site visit'!AO5/'By site'!BA6-1</f>
        <v>-1</v>
      </c>
    </row>
    <row r="6" spans="1:7" x14ac:dyDescent="0.2">
      <c r="A6" t="s">
        <v>4</v>
      </c>
      <c r="B6">
        <f>'By site visit'!AW6/'By site'!CB7</f>
        <v>0</v>
      </c>
      <c r="C6" t="e">
        <f>'By site'!BA7/'By site visit'!AM6</f>
        <v>#DIV/0!</v>
      </c>
      <c r="D6" t="e">
        <f t="shared" si="0"/>
        <v>#DIV/0!</v>
      </c>
      <c r="G6" s="9">
        <f>'By site visit'!AO6/'By site'!BA7-1</f>
        <v>-1</v>
      </c>
    </row>
    <row r="7" spans="1:7" x14ac:dyDescent="0.2">
      <c r="A7" t="s">
        <v>8</v>
      </c>
      <c r="B7" t="e">
        <f>'By site visit'!AW7/'By site'!#REF!</f>
        <v>#REF!</v>
      </c>
      <c r="C7" t="e">
        <f>'By site'!#REF!/'By site visit'!AM7</f>
        <v>#REF!</v>
      </c>
      <c r="D7" t="e">
        <f t="shared" si="0"/>
        <v>#REF!</v>
      </c>
      <c r="G7" s="9">
        <f>'By site visit'!AO7/'By site'!BA8-1</f>
        <v>-1</v>
      </c>
    </row>
    <row r="8" spans="1:7" x14ac:dyDescent="0.2">
      <c r="A8" t="s">
        <v>6</v>
      </c>
      <c r="B8">
        <f>'By site visit'!AW8/'By site'!CB10</f>
        <v>0</v>
      </c>
      <c r="C8" t="e">
        <f>'By site'!BA10/'By site visit'!AM8</f>
        <v>#DIV/0!</v>
      </c>
      <c r="D8" t="e">
        <f t="shared" si="0"/>
        <v>#DIV/0!</v>
      </c>
      <c r="G8" s="9">
        <f>'By site visit'!AO8/'By site'!BA9-1</f>
        <v>-1</v>
      </c>
    </row>
    <row r="9" spans="1:7" x14ac:dyDescent="0.2">
      <c r="A9" t="s">
        <v>5</v>
      </c>
      <c r="B9">
        <f>'By site visit'!AW9/'By site'!CB11</f>
        <v>0</v>
      </c>
      <c r="C9" t="e">
        <f>'By site'!BA11/'By site visit'!AM9</f>
        <v>#DIV/0!</v>
      </c>
      <c r="D9" t="e">
        <f t="shared" si="0"/>
        <v>#DIV/0!</v>
      </c>
      <c r="G9" s="9" t="e">
        <f>'By site visit'!AO9/'By site'!#REF!-1</f>
        <v>#REF!</v>
      </c>
    </row>
    <row r="10" spans="1:7" x14ac:dyDescent="0.2">
      <c r="A10" t="s">
        <v>7</v>
      </c>
      <c r="B10">
        <f>'By site visit'!AW10/'By site'!CB12</f>
        <v>0</v>
      </c>
      <c r="C10" t="e">
        <f>'By site'!BA12/'By site visit'!AM10</f>
        <v>#DIV/0!</v>
      </c>
      <c r="D10" t="e">
        <f t="shared" si="0"/>
        <v>#DIV/0!</v>
      </c>
      <c r="G10" s="9">
        <f>'By site visit'!AO10/'By site'!BA10-1</f>
        <v>-1</v>
      </c>
    </row>
    <row r="11" spans="1:7" x14ac:dyDescent="0.2">
      <c r="A11" t="s">
        <v>9</v>
      </c>
      <c r="B11">
        <f>'By site visit'!AW11/'By site'!CB13</f>
        <v>0</v>
      </c>
      <c r="C11" t="e">
        <f>'By site'!BA13/'By site visit'!AM11</f>
        <v>#DIV/0!</v>
      </c>
      <c r="D11" t="e">
        <f t="shared" si="0"/>
        <v>#DIV/0!</v>
      </c>
      <c r="G11" s="9">
        <f>'By site visit'!AO11/'By site'!BA11-1</f>
        <v>-1</v>
      </c>
    </row>
    <row r="12" spans="1:7" x14ac:dyDescent="0.2">
      <c r="A12" t="s">
        <v>10</v>
      </c>
      <c r="B12">
        <f>'By site visit'!AW12/'By site'!CB14</f>
        <v>0</v>
      </c>
      <c r="C12" t="e">
        <f>'By site'!BA14/'By site visit'!AM12</f>
        <v>#DIV/0!</v>
      </c>
      <c r="D12" t="e">
        <f t="shared" si="0"/>
        <v>#DIV/0!</v>
      </c>
      <c r="G12" s="9">
        <f>'By site visit'!AO12/'By site'!BA12-1</f>
        <v>-1</v>
      </c>
    </row>
    <row r="13" spans="1:7" x14ac:dyDescent="0.2">
      <c r="A13" t="s">
        <v>11</v>
      </c>
      <c r="B13">
        <f>'By site visit'!AW13/'By site'!CB15</f>
        <v>0</v>
      </c>
      <c r="C13" t="e">
        <f>'By site'!BA15/'By site visit'!AM13</f>
        <v>#DIV/0!</v>
      </c>
      <c r="D13" t="e">
        <f t="shared" si="0"/>
        <v>#DIV/0!</v>
      </c>
      <c r="G13" s="9">
        <f>'By site visit'!AO13/'By site'!BA13-1</f>
        <v>-1</v>
      </c>
    </row>
    <row r="14" spans="1:7" x14ac:dyDescent="0.2">
      <c r="A14" t="s">
        <v>12</v>
      </c>
      <c r="B14">
        <f>'By site visit'!AW14/'By site'!CB16</f>
        <v>0</v>
      </c>
      <c r="C14" t="e">
        <f>'By site'!BA16/'By site visit'!AM14</f>
        <v>#DIV/0!</v>
      </c>
      <c r="D14" t="e">
        <f t="shared" si="0"/>
        <v>#DIV/0!</v>
      </c>
      <c r="G14" s="9">
        <f>'By site visit'!AO14/'By site'!BA14-1</f>
        <v>-1</v>
      </c>
    </row>
    <row r="15" spans="1:7" x14ac:dyDescent="0.2">
      <c r="A15" t="s">
        <v>13</v>
      </c>
      <c r="B15">
        <f>'By site visit'!AW15/'By site'!CB17</f>
        <v>0</v>
      </c>
      <c r="C15" t="e">
        <f>'By site'!BA17/'By site visit'!AM15</f>
        <v>#DIV/0!</v>
      </c>
      <c r="D15" t="e">
        <f t="shared" si="0"/>
        <v>#DIV/0!</v>
      </c>
      <c r="G15" s="9">
        <f>'By site visit'!AO15/'By site'!BA15-1</f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By site</vt:lpstr>
      <vt:lpstr>Tables for paper</vt:lpstr>
      <vt:lpstr>By site visit</vt:lpstr>
      <vt:lpstr>By site no strat</vt:lpstr>
      <vt:lpstr>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2022-04-13T21:50:29Z</dcterms:created>
  <dcterms:modified xsi:type="dcterms:W3CDTF">2023-03-30T17:57:19Z</dcterms:modified>
</cp:coreProperties>
</file>